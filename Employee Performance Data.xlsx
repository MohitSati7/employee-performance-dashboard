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28" windowHeight="9708"/>
  </bookViews>
  <sheets>
    <sheet name="Dashboard" sheetId="4" r:id="rId1"/>
    <sheet name="Employee performance data" sheetId="1" r:id="rId2"/>
    <sheet name="pivot table" sheetId="2" r:id="rId3"/>
  </sheets>
  <definedNames>
    <definedName name="_xlnm._FilterDatabase" localSheetId="1" hidden="1">'Employee performance data'!$A$1:$R$90</definedName>
    <definedName name="Slicer_Department">#N/A</definedName>
    <definedName name="Slicer_Region">#N/A</definedName>
    <definedName name="Slicer_Performance_Statu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<sst xmlns="http://schemas.openxmlformats.org/spreadsheetml/2006/main" count="720" uniqueCount="95">
  <si>
    <t>Date</t>
  </si>
  <si>
    <t>Month</t>
  </si>
  <si>
    <t>Emp ID</t>
  </si>
  <si>
    <t>Employee Name</t>
  </si>
  <si>
    <t>Department</t>
  </si>
  <si>
    <t>Region</t>
  </si>
  <si>
    <t>Working Days</t>
  </si>
  <si>
    <t>Attendance Status</t>
  </si>
  <si>
    <t>Target Tasks</t>
  </si>
  <si>
    <t>Completed Tasks</t>
  </si>
  <si>
    <t>Pending Tasks</t>
  </si>
  <si>
    <t>Target Hours</t>
  </si>
  <si>
    <t>Actual Hours</t>
  </si>
  <si>
    <t>Overtime Hours</t>
  </si>
  <si>
    <t>Productivity %</t>
  </si>
  <si>
    <t>Quality Score %</t>
  </si>
  <si>
    <t>Achievement %</t>
  </si>
  <si>
    <t>Performance Status</t>
  </si>
  <si>
    <t>Jan</t>
  </si>
  <si>
    <t>EMP001</t>
  </si>
  <si>
    <t>James Smith</t>
  </si>
  <si>
    <t>Sales</t>
  </si>
  <si>
    <t>California</t>
  </si>
  <si>
    <t>Present</t>
  </si>
  <si>
    <t>High Performer</t>
  </si>
  <si>
    <t>EMP002</t>
  </si>
  <si>
    <t>Mary Johnson</t>
  </si>
  <si>
    <t>Texas</t>
  </si>
  <si>
    <t>Leave</t>
  </si>
  <si>
    <t>EMP003</t>
  </si>
  <si>
    <t>Robert Williams</t>
  </si>
  <si>
    <t>Marketing</t>
  </si>
  <si>
    <t>Florida</t>
  </si>
  <si>
    <t>EMP004</t>
  </si>
  <si>
    <t>Jennifer Brown</t>
  </si>
  <si>
    <t>EMP005</t>
  </si>
  <si>
    <t>Michael Jones</t>
  </si>
  <si>
    <t>Finance</t>
  </si>
  <si>
    <t>New York</t>
  </si>
  <si>
    <t>EMP006</t>
  </si>
  <si>
    <t>Linda Garcia</t>
  </si>
  <si>
    <t>EMP007</t>
  </si>
  <si>
    <t>David Miller</t>
  </si>
  <si>
    <t>HR</t>
  </si>
  <si>
    <t>EMP008</t>
  </si>
  <si>
    <t>Sarah Davis</t>
  </si>
  <si>
    <t>Work From Home</t>
  </si>
  <si>
    <t>EMP009</t>
  </si>
  <si>
    <t>John Rodriguez</t>
  </si>
  <si>
    <t>Operations</t>
  </si>
  <si>
    <t>On Track</t>
  </si>
  <si>
    <t>EMP010</t>
  </si>
  <si>
    <t>Emily Martinez</t>
  </si>
  <si>
    <t>EMP012</t>
  </si>
  <si>
    <t>Jessica Lopez</t>
  </si>
  <si>
    <t>IT</t>
  </si>
  <si>
    <t>EMP013</t>
  </si>
  <si>
    <t>Christopher Wilson</t>
  </si>
  <si>
    <t>EMP014</t>
  </si>
  <si>
    <t>Amanda Anderson</t>
  </si>
  <si>
    <t>EMP015</t>
  </si>
  <si>
    <t>Matthew Taylor</t>
  </si>
  <si>
    <t>EMP016</t>
  </si>
  <si>
    <t>Ashley Thomas</t>
  </si>
  <si>
    <t>Feb</t>
  </si>
  <si>
    <t>EMP017</t>
  </si>
  <si>
    <t>Andrew Moore</t>
  </si>
  <si>
    <t>EMP018</t>
  </si>
  <si>
    <t>Olivia Jackson</t>
  </si>
  <si>
    <t>EMP020</t>
  </si>
  <si>
    <t>Sophia Lee</t>
  </si>
  <si>
    <t>Mar</t>
  </si>
  <si>
    <t>EMP011</t>
  </si>
  <si>
    <t>Daniel Hernandez</t>
  </si>
  <si>
    <t>Needs Improvement</t>
  </si>
  <si>
    <t>Apr</t>
  </si>
  <si>
    <t>EMP019</t>
  </si>
  <si>
    <t>Joshua Martin</t>
  </si>
  <si>
    <t>May</t>
  </si>
  <si>
    <t>Jun</t>
  </si>
  <si>
    <t>Jul</t>
  </si>
  <si>
    <t>Average of Achievement %</t>
  </si>
  <si>
    <t>Average of Productivity %</t>
  </si>
  <si>
    <t>Average of Quality Score %</t>
  </si>
  <si>
    <t xml:space="preserve">KPI </t>
  </si>
  <si>
    <t>Value</t>
  </si>
  <si>
    <t>Total Employee</t>
  </si>
  <si>
    <t>Avg Productivity%</t>
  </si>
  <si>
    <t>Avg Achievement%</t>
  </si>
  <si>
    <t>Total Completed Task</t>
  </si>
  <si>
    <t>Grand Total</t>
  </si>
  <si>
    <t>Avg Quality Score%</t>
  </si>
  <si>
    <t>Sum of Completed Tasks</t>
  </si>
  <si>
    <t>Sum of Pending Tasks</t>
  </si>
  <si>
    <t>Count of Emp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</si>
</sst>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_ * #,##0.000_ ;_ * \-#,##0.000_ ;_ * &quot;-&quot;??.0_ ;_ @_ "/>
    <numFmt numFmtId="182" formatCode="_ * #,##0_ ;_ * \-#,##0_ ;_ * &quot;-&quot;??_ ;_ @_ "/>
    <numFmt numFmtId="183" formatCode="0_);[Red]\(0\)"/>
    <numFmt numFmtId="184" formatCode="dd/mmm/yy"/>
  </numFmts>
  <fonts count="22">
    <font>
      <sz val="11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180" fontId="0" fillId="0" borderId="0" xfId="0" applyNumberFormat="1"/>
    <xf numFmtId="180" fontId="0" fillId="0" borderId="1" xfId="3" applyNumberFormat="1" applyBorder="1" applyAlignment="1"/>
    <xf numFmtId="0" fontId="0" fillId="0" borderId="0" xfId="0" applyBorder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0" fontId="0" fillId="0" borderId="0" xfId="3" applyNumberFormat="1" applyAlignment="1"/>
    <xf numFmtId="0" fontId="0" fillId="0" borderId="2" xfId="0" applyBorder="1"/>
    <xf numFmtId="0" fontId="1" fillId="2" borderId="0" xfId="0" applyFont="1" applyFill="1" applyBorder="1" applyAlignment="1">
      <alignment horizontal="left" vertical="center" wrapText="1"/>
    </xf>
    <xf numFmtId="184" fontId="2" fillId="0" borderId="3" xfId="0" applyNumberFormat="1" applyFont="1" applyBorder="1"/>
    <xf numFmtId="0" fontId="2" fillId="0" borderId="3" xfId="0" applyFont="1" applyBorder="1"/>
    <xf numFmtId="10" fontId="2" fillId="0" borderId="3" xfId="0" applyNumberFormat="1" applyFont="1" applyBorder="1"/>
    <xf numFmtId="184" fontId="2" fillId="0" borderId="0" xfId="0" applyNumberFormat="1" applyFont="1" applyBorder="1"/>
    <xf numFmtId="0" fontId="2" fillId="0" borderId="0" xfId="0" applyFont="1" applyBorder="1"/>
    <xf numFmtId="10" fontId="2" fillId="0" borderId="0" xfId="0" applyNumberFormat="1" applyFont="1" applyBorder="1"/>
    <xf numFmtId="180" fontId="0" fillId="0" borderId="0" xfId="3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2">
    <dxf>
      <numFmt numFmtId="185" formatCode="0.00000000_ "/>
    </dxf>
    <dxf>
      <numFmt numFmtId="186" formatCode="0.0000000_ "/>
    </dxf>
    <dxf>
      <numFmt numFmtId="187" formatCode="0.000000_ "/>
    </dxf>
    <dxf>
      <numFmt numFmtId="188" formatCode="0.00000_ "/>
    </dxf>
    <dxf>
      <numFmt numFmtId="189" formatCode="0.0000_ "/>
    </dxf>
    <dxf>
      <numFmt numFmtId="190" formatCode="0.000_ "/>
    </dxf>
    <dxf>
      <numFmt numFmtId="191" formatCode="0.00_ "/>
    </dxf>
    <dxf>
      <numFmt numFmtId="192" formatCode="0.0_ "/>
    </dxf>
    <dxf>
      <numFmt numFmtId="193" formatCode="0_ "/>
    </dxf>
    <dxf>
      <numFmt numFmtId="194" formatCode="0.0_ "/>
    </dxf>
    <dxf>
      <numFmt numFmtId="195" formatCode="0.00_ "/>
    </dxf>
    <dxf>
      <numFmt numFmtId="196" formatCode="0.000_ "/>
    </dxf>
    <dxf>
      <numFmt numFmtId="197" formatCode="0.0000_ "/>
    </dxf>
    <dxf>
      <numFmt numFmtId="198" formatCode="0.00000_ "/>
    </dxf>
    <dxf>
      <numFmt numFmtId="180" formatCode="0.0%"/>
    </dxf>
    <dxf>
      <numFmt numFmtId="199" formatCode="0.00000000_ "/>
    </dxf>
    <dxf>
      <numFmt numFmtId="200" formatCode="0.0000000_ "/>
    </dxf>
    <dxf>
      <numFmt numFmtId="201" formatCode="0.000000_ "/>
    </dxf>
    <dxf>
      <numFmt numFmtId="202" formatCode="0.00000_ "/>
    </dxf>
    <dxf>
      <numFmt numFmtId="203" formatCode="0.0000_ "/>
    </dxf>
    <dxf>
      <numFmt numFmtId="204" formatCode="0.000_ "/>
    </dxf>
    <dxf>
      <numFmt numFmtId="205" formatCode="0.00_ "/>
    </dxf>
    <dxf>
      <numFmt numFmtId="206" formatCode="0.0_ "/>
    </dxf>
    <dxf>
      <numFmt numFmtId="207" formatCode="0_ "/>
    </dxf>
    <dxf>
      <numFmt numFmtId="208" formatCode="0.0_ "/>
    </dxf>
    <dxf>
      <numFmt numFmtId="209" formatCode="0.00_ "/>
    </dxf>
    <dxf>
      <numFmt numFmtId="210" formatCode="0.000_ "/>
    </dxf>
    <dxf>
      <numFmt numFmtId="211" formatCode="0.0000_ "/>
    </dxf>
    <dxf>
      <numFmt numFmtId="212" formatCode="0.00000_ "/>
    </dxf>
    <dxf>
      <numFmt numFmtId="180" formatCode="0.0%"/>
    </dxf>
    <dxf>
      <numFmt numFmtId="213" formatCode="0.00000000_ "/>
    </dxf>
    <dxf>
      <numFmt numFmtId="214" formatCode="0.0000000_ "/>
    </dxf>
    <dxf>
      <numFmt numFmtId="215" formatCode="0.000000_ "/>
    </dxf>
    <dxf>
      <numFmt numFmtId="216" formatCode="0.00000_ "/>
    </dxf>
    <dxf>
      <numFmt numFmtId="217" formatCode="0.0000_ "/>
    </dxf>
    <dxf>
      <numFmt numFmtId="218" formatCode="0.000_ "/>
    </dxf>
    <dxf>
      <numFmt numFmtId="219" formatCode="0.00_ "/>
    </dxf>
    <dxf>
      <numFmt numFmtId="220" formatCode="0.0_ "/>
    </dxf>
    <dxf>
      <numFmt numFmtId="221" formatCode="0_ "/>
    </dxf>
    <dxf>
      <numFmt numFmtId="222" formatCode="0.0_ "/>
    </dxf>
    <dxf>
      <numFmt numFmtId="223" formatCode="0.00_ "/>
    </dxf>
    <dxf>
      <numFmt numFmtId="224" formatCode="0.000_ "/>
    </dxf>
    <dxf>
      <numFmt numFmtId="225" formatCode="0.0000_ "/>
    </dxf>
    <dxf>
      <numFmt numFmtId="226" formatCode="0.00000_ "/>
    </dxf>
    <dxf>
      <numFmt numFmtId="180" formatCode="0.0%"/>
    </dxf>
    <dxf>
      <numFmt numFmtId="227" formatCode="0.00000000_ "/>
    </dxf>
    <dxf>
      <numFmt numFmtId="228" formatCode="0.0000000_ "/>
    </dxf>
    <dxf>
      <numFmt numFmtId="229" formatCode="0.000000_ "/>
    </dxf>
    <dxf>
      <numFmt numFmtId="230" formatCode="0.00000_ "/>
    </dxf>
    <dxf>
      <numFmt numFmtId="231" formatCode="0.0000_ "/>
    </dxf>
    <dxf>
      <numFmt numFmtId="232" formatCode="0.000_ "/>
    </dxf>
    <dxf>
      <numFmt numFmtId="233" formatCode="0.00_ "/>
    </dxf>
    <dxf>
      <numFmt numFmtId="234" formatCode="0.0_ "/>
    </dxf>
    <dxf>
      <numFmt numFmtId="235" formatCode="0_ "/>
    </dxf>
    <dxf>
      <numFmt numFmtId="236" formatCode="0.0_ "/>
    </dxf>
    <dxf>
      <numFmt numFmtId="237" formatCode="0.00_ "/>
    </dxf>
    <dxf>
      <numFmt numFmtId="238" formatCode="0.000_ "/>
    </dxf>
    <dxf>
      <numFmt numFmtId="239" formatCode="0.0000_ "/>
    </dxf>
    <dxf>
      <numFmt numFmtId="240" formatCode="0.00000_ "/>
    </dxf>
    <dxf>
      <numFmt numFmtId="180" formatCode="0.0%"/>
    </dxf>
    <dxf>
      <numFmt numFmtId="241" formatCode="0.00000000_ "/>
    </dxf>
    <dxf>
      <numFmt numFmtId="242" formatCode="0.0000000_ "/>
    </dxf>
    <dxf>
      <numFmt numFmtId="243" formatCode="0.000000_ "/>
    </dxf>
    <dxf>
      <numFmt numFmtId="244" formatCode="0.00000_ "/>
    </dxf>
    <dxf>
      <numFmt numFmtId="245" formatCode="0.0000_ "/>
    </dxf>
    <dxf>
      <numFmt numFmtId="246" formatCode="0.000_ "/>
    </dxf>
    <dxf>
      <numFmt numFmtId="247" formatCode="0.00_ "/>
    </dxf>
    <dxf>
      <numFmt numFmtId="248" formatCode="0.0_ "/>
    </dxf>
    <dxf>
      <numFmt numFmtId="249" formatCode="0_ "/>
    </dxf>
    <dxf>
      <numFmt numFmtId="250" formatCode="0.0_ "/>
    </dxf>
    <dxf>
      <numFmt numFmtId="251" formatCode="0.00_ "/>
    </dxf>
    <dxf>
      <numFmt numFmtId="252" formatCode="0.000_ "/>
    </dxf>
    <dxf>
      <numFmt numFmtId="253" formatCode="0.0000_ "/>
    </dxf>
    <dxf>
      <numFmt numFmtId="254" formatCode="0.00000_ "/>
    </dxf>
    <dxf>
      <numFmt numFmtId="180" formatCode="0.0%"/>
    </dxf>
    <dxf>
      <numFmt numFmtId="255" formatCode="0.00000000_ "/>
    </dxf>
    <dxf>
      <numFmt numFmtId="256" formatCode="0.0000000_ "/>
    </dxf>
    <dxf>
      <numFmt numFmtId="257" formatCode="0.000000_ "/>
    </dxf>
    <dxf>
      <numFmt numFmtId="258" formatCode="0.00000_ "/>
    </dxf>
    <dxf>
      <numFmt numFmtId="259" formatCode="0.0000_ "/>
    </dxf>
    <dxf>
      <numFmt numFmtId="260" formatCode="0.000_ "/>
    </dxf>
    <dxf>
      <numFmt numFmtId="261" formatCode="0.00_ "/>
    </dxf>
    <dxf>
      <numFmt numFmtId="262" formatCode="0.0_ "/>
    </dxf>
    <dxf>
      <numFmt numFmtId="263" formatCode="0_ "/>
    </dxf>
    <dxf>
      <numFmt numFmtId="264" formatCode="0.0_ "/>
    </dxf>
    <dxf>
      <numFmt numFmtId="265" formatCode="0.00_ "/>
    </dxf>
    <dxf>
      <numFmt numFmtId="266" formatCode="0.000_ "/>
    </dxf>
    <dxf>
      <numFmt numFmtId="267" formatCode="0.0000_ "/>
    </dxf>
    <dxf>
      <numFmt numFmtId="268" formatCode="0.00000_ "/>
    </dxf>
    <dxf>
      <numFmt numFmtId="180" formatCode="0.0%"/>
    </dxf>
    <dxf>
      <numFmt numFmtId="181" formatCode="_ * #,##0.000_ ;_ * \-#,##0.000_ ;_ * &quot;-&quot;??.0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269" formatCode="_ * #,##0.0_ ;_ * \-#,##0.0_ ;_ * &quot;-&quot;??_ ;_ @_ "/>
    </dxf>
    <dxf>
      <numFmt numFmtId="270" formatCode="_ * #,##0.0_ ;_ * \-#,##0.0_ ;_ * &quot;-&quot;??_ ;_ @_ "/>
    </dxf>
    <dxf>
      <numFmt numFmtId="271" formatCode="_ * #,##0.0_ ;_ * \-#,##0.0_ ;_ * &quot;-&quot;??_ ;_ @_ "/>
    </dxf>
    <dxf>
      <numFmt numFmtId="272" formatCode="_ * #,##0.0_ ;_ * \-#,##0.0_ ;_ * &quot;-&quot;??_ ;_ @_ "/>
    </dxf>
    <dxf>
      <numFmt numFmtId="273" formatCode="_ * #,##0.0_ ;_ * \-#,##0.0_ ;_ * &quot;-&quot;??_ ;_ @_ "/>
    </dxf>
    <dxf>
      <numFmt numFmtId="274" formatCode="_ * #,##0.0_ ;_ * \-#,##0.0_ ;_ * &quot;-&quot;??_ ;_ @_ "/>
    </dxf>
    <dxf>
      <numFmt numFmtId="275" formatCode="_ * #,##0.0_ ;_ * \-#,##0.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numFmt numFmtId="276" formatCode="_ * #,##0.0_ ;_ * \-#,##0.0_ ;_ * &quot;-&quot;??_ ;_ @_ "/>
    </dxf>
    <dxf>
      <numFmt numFmtId="277" formatCode="_ * #,##0.0_ ;_ * \-#,##0.0_ ;_ * &quot;-&quot;??_ ;_ @_ "/>
    </dxf>
    <dxf>
      <numFmt numFmtId="278" formatCode="_ * #,##0.0_ ;_ * \-#,##0.0_ ;_ * &quot;-&quot;??_ ;_ @_ "/>
    </dxf>
    <dxf>
      <numFmt numFmtId="279" formatCode="_ * #,##0.0_ ;_ * \-#,##0.0_ ;_ * &quot;-&quot;??_ ;_ @_ "/>
    </dxf>
    <dxf>
      <numFmt numFmtId="280" formatCode="_ * #,##0.0_ ;_ * \-#,##0.0_ ;_ * &quot;-&quot;??_ ;_ @_ "/>
    </dxf>
    <dxf>
      <numFmt numFmtId="281" formatCode="_ * #,##0.0_ ;_ * \-#,##0.0_ ;_ * &quot;-&quot;??_ ;_ @_ "/>
    </dxf>
    <dxf>
      <numFmt numFmtId="282" formatCode="_ * #,##0.0_ ;_ * \-#,##0.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82" formatCode="_ * #,##0_ ;_ * \-#,##0_ ;_ * &quot;-&quot;??_ ;_ @_ "/>
    </dxf>
    <dxf>
      <numFmt numFmtId="176" formatCode="_ * #,##0.00_ ;_ * \-#,##0.00_ ;_ * &quot;-&quot;??_ ;_ @_ "/>
    </dxf>
    <dxf>
      <numFmt numFmtId="283" formatCode="_ * #,##0.0_ ;_ * \-#,##0.0_ ;_ * &quot;-&quot;??_ ;_ @_ "/>
    </dxf>
    <dxf>
      <numFmt numFmtId="182" formatCode="_ * #,##0_ ;_ * \-#,##0_ ;_ * &quot;-&quot;??_ ;_ @_ "/>
    </dxf>
    <dxf>
      <numFmt numFmtId="284" formatCode="0.00000000_ "/>
    </dxf>
    <dxf>
      <numFmt numFmtId="285" formatCode="0.0000000_ "/>
    </dxf>
    <dxf>
      <numFmt numFmtId="286" formatCode="0.000000_ "/>
    </dxf>
    <dxf>
      <numFmt numFmtId="287" formatCode="0.00000_ "/>
    </dxf>
    <dxf>
      <numFmt numFmtId="288" formatCode="0.0000_ "/>
    </dxf>
    <dxf>
      <numFmt numFmtId="289" formatCode="0.000_ "/>
    </dxf>
    <dxf>
      <numFmt numFmtId="290" formatCode="0.00_ "/>
    </dxf>
    <dxf>
      <numFmt numFmtId="291" formatCode="0.0_ "/>
    </dxf>
    <dxf>
      <numFmt numFmtId="292" formatCode="0_ "/>
    </dxf>
    <dxf>
      <numFmt numFmtId="293" formatCode="0.0_ "/>
    </dxf>
    <dxf>
      <numFmt numFmtId="294" formatCode="0.00_ "/>
    </dxf>
    <dxf>
      <numFmt numFmtId="295" formatCode="0.000_ "/>
    </dxf>
    <dxf>
      <numFmt numFmtId="296" formatCode="0.0000_ "/>
    </dxf>
    <dxf>
      <numFmt numFmtId="297" formatCode="0.00000_ "/>
    </dxf>
    <dxf>
      <numFmt numFmtId="180" formatCode="0.0%"/>
    </dxf>
    <dxf>
      <numFmt numFmtId="0" formatCode="General"/>
    </dxf>
    <dxf>
      <numFmt numFmtId="298" formatCode="0.00_);[Red]\(0.00\)"/>
    </dxf>
    <dxf>
      <numFmt numFmtId="299" formatCode="0.0_);[Red]\(0.0\)"/>
    </dxf>
    <dxf>
      <numFmt numFmtId="183" formatCode="0_);[Red]\(0\)"/>
    </dxf>
    <dxf>
      <numFmt numFmtId="300" formatCode="0.00000000_ "/>
    </dxf>
    <dxf>
      <numFmt numFmtId="301" formatCode="0.0000000_ "/>
    </dxf>
    <dxf>
      <numFmt numFmtId="302" formatCode="0.000000_ "/>
    </dxf>
    <dxf>
      <numFmt numFmtId="303" formatCode="0.00000_ "/>
    </dxf>
    <dxf>
      <numFmt numFmtId="304" formatCode="0.0000_ "/>
    </dxf>
    <dxf>
      <numFmt numFmtId="305" formatCode="0.000_ "/>
    </dxf>
    <dxf>
      <numFmt numFmtId="306" formatCode="0.00_ "/>
    </dxf>
    <dxf>
      <numFmt numFmtId="307" formatCode="0.0_ "/>
    </dxf>
    <dxf>
      <numFmt numFmtId="308" formatCode="0_ "/>
    </dxf>
    <dxf>
      <numFmt numFmtId="309" formatCode="0.0_ "/>
    </dxf>
    <dxf>
      <numFmt numFmtId="310" formatCode="0.00_ "/>
    </dxf>
    <dxf>
      <numFmt numFmtId="311" formatCode="0.000_ "/>
    </dxf>
    <dxf>
      <numFmt numFmtId="312" formatCode="0.0000_ "/>
    </dxf>
    <dxf>
      <numFmt numFmtId="313" formatCode="0.00000_ "/>
    </dxf>
    <dxf>
      <numFmt numFmtId="180" formatCode="0.0%"/>
    </dxf>
    <dxf>
      <numFmt numFmtId="0" formatCode="General"/>
    </dxf>
    <dxf>
      <numFmt numFmtId="314" formatCode="0.00_);[Red]\(0.00\)"/>
    </dxf>
    <dxf>
      <numFmt numFmtId="315" formatCode="0.0_);[Red]\(0.0\)"/>
    </dxf>
    <dxf>
      <numFmt numFmtId="183" formatCode="0_);[Red]\(0\)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184" formatCode="dd/mmm/yy"/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10" formatCode="0.00%"/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10" formatCode="0.00%"/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10" formatCode="0.00%"/>
      <border>
        <left/>
        <right/>
        <top/>
        <bottom style="thin">
          <color rgb="FFD9E2F3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border>
        <left/>
        <right/>
        <top/>
        <bottom style="thin">
          <color rgb="FFD9E2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AVG. ACHIEVEMENT BY DEP.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table'!$D$3:$D$9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table'!$E$3:$E$9</c:f>
              <c:numCache>
                <c:formatCode>0.0%</c:formatCode>
                <c:ptCount val="6"/>
                <c:pt idx="0">
                  <c:v>0.921285714285714</c:v>
                </c:pt>
                <c:pt idx="1">
                  <c:v>0.909714285714286</c:v>
                </c:pt>
                <c:pt idx="2">
                  <c:v>0.900692307692308</c:v>
                </c:pt>
                <c:pt idx="3">
                  <c:v>0.874055555555556</c:v>
                </c:pt>
                <c:pt idx="4">
                  <c:v>0.897153846153846</c:v>
                </c:pt>
                <c:pt idx="5">
                  <c:v>0.936294117647059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07558555"/>
        <c:axId val="504962084"/>
      </c:barChart>
      <c:catAx>
        <c:axId val="9075585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962084"/>
        <c:crosses val="autoZero"/>
        <c:auto val="1"/>
        <c:lblAlgn val="ctr"/>
        <c:lblOffset val="100"/>
        <c:noMultiLvlLbl val="0"/>
      </c:catAx>
      <c:valAx>
        <c:axId val="50496208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5585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2ee7de-b320-4034-ae99-845cb98eee17}"/>
      </c:ext>
    </c:extLst>
  </c:chart>
  <c:spPr>
    <a:solidFill>
      <a:schemeClr val="bg1"/>
    </a:solidFill>
    <a:ln w="6350" cap="rnd" cmpd="sng" algn="ctr">
      <a:solidFill>
        <a:schemeClr val="tx1">
          <a:lumMod val="15000"/>
          <a:lumOff val="85000"/>
        </a:schemeClr>
      </a:solidFill>
      <a:beve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/>
              <a:t>AVG. PRODUCTIVITY BY DEP.</a:t>
            </a:r>
            <a:endParaRPr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746609697195"/>
          <c:y val="0.207403651115619"/>
          <c:w val="0.524800297232027"/>
          <c:h val="0.716277890466531"/>
        </c:manualLayout>
      </c:layout>
      <c:doughnutChart>
        <c:varyColors val="1"/>
        <c:ser>
          <c:idx val="0"/>
          <c:order val="0"/>
          <c:tx>
            <c:strRef>
              <c:f>'pivot table'!$H$2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table'!$G$3:$G$9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table'!$H$3:$H$9</c:f>
              <c:numCache>
                <c:formatCode>0.0%</c:formatCode>
                <c:ptCount val="6"/>
                <c:pt idx="0">
                  <c:v>0.929642857142857</c:v>
                </c:pt>
                <c:pt idx="1">
                  <c:v>0.919</c:v>
                </c:pt>
                <c:pt idx="2">
                  <c:v>0.918230769230769</c:v>
                </c:pt>
                <c:pt idx="3">
                  <c:v>0.890444444444445</c:v>
                </c:pt>
                <c:pt idx="4">
                  <c:v>0.904</c:v>
                </c:pt>
                <c:pt idx="5">
                  <c:v>0.950352941176471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60226639420397"/>
          <c:y val="0.286004056795132"/>
          <c:w val="0.321010588890953"/>
          <c:h val="0.57479716024340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53f210-0135-4708-a196-d2d514cf0d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MONTHLY </a:t>
            </a:r>
            <a:r>
              <a:rPr sz="1200" b="1"/>
              <a:t>AVG. PRODUCTIVITY TREND</a:t>
            </a:r>
            <a:endParaRPr sz="1200" b="1"/>
          </a:p>
        </c:rich>
      </c:tx>
      <c:layout>
        <c:manualLayout>
          <c:xMode val="edge"/>
          <c:yMode val="edge"/>
          <c:x val="0.171013852048335"/>
          <c:y val="0.02714358193810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6348186185047"/>
          <c:y val="0.183551937996103"/>
          <c:w val="0.675313190862196"/>
          <c:h val="0.67033393735438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0"/>
                  <c:y val="0.11456752655538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table'!$D$13:$D$20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table'!$E$13:$E$20</c:f>
              <c:numCache>
                <c:formatCode>0.0%</c:formatCode>
                <c:ptCount val="7"/>
                <c:pt idx="0">
                  <c:v>0.9626</c:v>
                </c:pt>
                <c:pt idx="1">
                  <c:v>0.94375</c:v>
                </c:pt>
                <c:pt idx="2">
                  <c:v>0.851714285714286</c:v>
                </c:pt>
                <c:pt idx="3">
                  <c:v>0.930923076923077</c:v>
                </c:pt>
                <c:pt idx="4">
                  <c:v>0.919071428571429</c:v>
                </c:pt>
                <c:pt idx="5">
                  <c:v>0.911846153846154</c:v>
                </c:pt>
                <c:pt idx="6">
                  <c:v>0.905375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46786024"/>
        <c:axId val="617870040"/>
      </c:lineChart>
      <c:catAx>
        <c:axId val="946786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70040"/>
        <c:crosses val="autoZero"/>
        <c:auto val="1"/>
        <c:lblAlgn val="ctr"/>
        <c:lblOffset val="100"/>
        <c:noMultiLvlLbl val="0"/>
      </c:catAx>
      <c:valAx>
        <c:axId val="6178700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78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66143-46da-4cfa-8888-fe7cbfba78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AVG. ACHIEVEMENT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682172741455113"/>
                  <c:y val="-0.2106031128404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113459083817898"/>
                  <c:y val="-0.1524805447470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45355268756205"/>
                  <c:y val="-0.05836575875486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07006098425755"/>
                  <c:y val="-0.08098249027237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table'!$J$3:$J$7</c:f>
              <c:strCache>
                <c:ptCount val="4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</c:strCache>
            </c:strRef>
          </c:cat>
          <c:val>
            <c:numRef>
              <c:f>'pivot table'!$K$3:$K$7</c:f>
              <c:numCache>
                <c:formatCode>0.0%</c:formatCode>
                <c:ptCount val="4"/>
                <c:pt idx="0">
                  <c:v>0.90868</c:v>
                </c:pt>
                <c:pt idx="1">
                  <c:v>0.899190476190476</c:v>
                </c:pt>
                <c:pt idx="2">
                  <c:v>0.838909090909091</c:v>
                </c:pt>
                <c:pt idx="3">
                  <c:v>0.902714285714286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916320"/>
        <c:axId val="975912059"/>
      </c:areaChart>
      <c:catAx>
        <c:axId val="95916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912059"/>
        <c:crosses val="autoZero"/>
        <c:auto val="1"/>
        <c:lblAlgn val="ctr"/>
        <c:lblOffset val="100"/>
        <c:noMultiLvlLbl val="0"/>
      </c:catAx>
      <c:valAx>
        <c:axId val="9759120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1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94150a1-d364-49cc-ac1f-33133c2229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TASK COMPLETION BY MONTH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table'!$H$12</c:f>
              <c:strCache>
                <c:ptCount val="1"/>
                <c:pt idx="0">
                  <c:v>Sum of Completed Tasks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table'!$G$13:$G$20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table'!$H$13:$H$20</c:f>
              <c:numCache>
                <c:formatCode>_ * #,##0_ ;_ * \-#,##0_ ;_ * "-"??_ ;_ @_ </c:formatCode>
                <c:ptCount val="7"/>
                <c:pt idx="0">
                  <c:v>209</c:v>
                </c:pt>
                <c:pt idx="1">
                  <c:v>173</c:v>
                </c:pt>
                <c:pt idx="2">
                  <c:v>175</c:v>
                </c:pt>
                <c:pt idx="3">
                  <c:v>154</c:v>
                </c:pt>
                <c:pt idx="4">
                  <c:v>179</c:v>
                </c:pt>
                <c:pt idx="5">
                  <c:v>178</c:v>
                </c:pt>
                <c:pt idx="6">
                  <c:v>109</c:v>
                </c:pt>
              </c:numCache>
            </c:numRef>
          </c:val>
        </c:ser>
        <c:ser>
          <c:idx val="1"/>
          <c:order val="1"/>
          <c:tx>
            <c:strRef>
              <c:f>'pivot table'!$I$12</c:f>
              <c:strCache>
                <c:ptCount val="1"/>
                <c:pt idx="0">
                  <c:v>Sum of Pending Tasks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table'!$G$13:$G$20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'pivot table'!$I$13:$I$20</c:f>
              <c:numCache>
                <c:formatCode>_ * #,##0_ ;_ * \-#,##0_ ;_ * "-"??_ ;_ @_ </c:formatCode>
                <c:ptCount val="7"/>
                <c:pt idx="0">
                  <c:v>133</c:v>
                </c:pt>
                <c:pt idx="1">
                  <c:v>79</c:v>
                </c:pt>
                <c:pt idx="2">
                  <c:v>69</c:v>
                </c:pt>
                <c:pt idx="3">
                  <c:v>80</c:v>
                </c:pt>
                <c:pt idx="4">
                  <c:v>62</c:v>
                </c:pt>
                <c:pt idx="5">
                  <c:v>65</c:v>
                </c:pt>
                <c:pt idx="6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840093179"/>
        <c:axId val="464969372"/>
      </c:barChart>
      <c:catAx>
        <c:axId val="8400931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969372"/>
        <c:crosses val="autoZero"/>
        <c:auto val="1"/>
        <c:lblAlgn val="ctr"/>
        <c:lblOffset val="100"/>
        <c:noMultiLvlLbl val="0"/>
      </c:catAx>
      <c:valAx>
        <c:axId val="46496937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0931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22398843930636"/>
          <c:y val="0.862938070091215"/>
          <c:w val="0.784248554913295"/>
          <c:h val="0.10825732117138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d4545b-b48a-44fb-a808-69c7eac795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Data.xlsx]pivot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EMPLOYEES BY ACHIEVEMENT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table'!$M$3:$M$8</c:f>
              <c:strCache>
                <c:ptCount val="5"/>
                <c:pt idx="0">
                  <c:v>James Smith</c:v>
                </c:pt>
                <c:pt idx="1">
                  <c:v>Joshua Martin</c:v>
                </c:pt>
                <c:pt idx="2">
                  <c:v>Linda Garcia</c:v>
                </c:pt>
                <c:pt idx="3">
                  <c:v>Mary Johnson</c:v>
                </c:pt>
                <c:pt idx="4">
                  <c:v>Sarah Davis</c:v>
                </c:pt>
              </c:strCache>
            </c:strRef>
          </c:cat>
          <c:val>
            <c:numRef>
              <c:f>'pivot table'!$N$3:$N$8</c:f>
              <c:numCache>
                <c:formatCode>0.0%</c:formatCode>
                <c:ptCount val="5"/>
                <c:pt idx="0">
                  <c:v>0.9678</c:v>
                </c:pt>
                <c:pt idx="1">
                  <c:v>0.933</c:v>
                </c:pt>
                <c:pt idx="2">
                  <c:v>0.973</c:v>
                </c:pt>
                <c:pt idx="3">
                  <c:v>0.931</c:v>
                </c:pt>
                <c:pt idx="4">
                  <c:v>0.9348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499089527"/>
        <c:axId val="314806375"/>
      </c:barChart>
      <c:catAx>
        <c:axId val="499089527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806375"/>
        <c:crosses val="autoZero"/>
        <c:auto val="1"/>
        <c:lblAlgn val="ctr"/>
        <c:lblOffset val="100"/>
        <c:noMultiLvlLbl val="0"/>
      </c:catAx>
      <c:valAx>
        <c:axId val="314806375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089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c1ee22-1eba-4074-80db-06ed5bf8b8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96520</xdr:colOff>
      <xdr:row>0</xdr:row>
      <xdr:rowOff>10795</xdr:rowOff>
    </xdr:from>
    <xdr:to>
      <xdr:col>21</xdr:col>
      <xdr:colOff>393700</xdr:colOff>
      <xdr:row>42</xdr:row>
      <xdr:rowOff>93345</xdr:rowOff>
    </xdr:to>
    <xdr:sp>
      <xdr:nvSpPr>
        <xdr:cNvPr id="2" name="Rounded Rectangle 1"/>
        <xdr:cNvSpPr/>
      </xdr:nvSpPr>
      <xdr:spPr>
        <a:xfrm>
          <a:off x="96520" y="10795"/>
          <a:ext cx="14525625" cy="7443470"/>
        </a:xfrm>
        <a:prstGeom prst="roundRect">
          <a:avLst>
            <a:gd name="adj" fmla="val 4088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72707</xdr:colOff>
      <xdr:row>0</xdr:row>
      <xdr:rowOff>56832</xdr:rowOff>
    </xdr:from>
    <xdr:to>
      <xdr:col>2</xdr:col>
      <xdr:colOff>334327</xdr:colOff>
      <xdr:row>42</xdr:row>
      <xdr:rowOff>38417</xdr:rowOff>
    </xdr:to>
    <xdr:sp>
      <xdr:nvSpPr>
        <xdr:cNvPr id="3" name="Rounded Rectangle 2"/>
        <xdr:cNvSpPr/>
      </xdr:nvSpPr>
      <xdr:spPr>
        <a:xfrm rot="5400000">
          <a:off x="-2790190" y="2919095"/>
          <a:ext cx="7341870" cy="1616710"/>
        </a:xfrm>
        <a:prstGeom prst="roundRect">
          <a:avLst/>
        </a:prstGeom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408305</xdr:colOff>
      <xdr:row>0</xdr:row>
      <xdr:rowOff>133350</xdr:rowOff>
    </xdr:from>
    <xdr:to>
      <xdr:col>21</xdr:col>
      <xdr:colOff>318770</xdr:colOff>
      <xdr:row>5</xdr:row>
      <xdr:rowOff>72390</xdr:rowOff>
    </xdr:to>
    <xdr:sp>
      <xdr:nvSpPr>
        <xdr:cNvPr id="4" name="Rounded Rectangle 3"/>
        <xdr:cNvSpPr/>
      </xdr:nvSpPr>
      <xdr:spPr>
        <a:xfrm>
          <a:off x="1763395" y="133350"/>
          <a:ext cx="12783820" cy="815340"/>
        </a:xfrm>
        <a:prstGeom prst="roundRect">
          <a:avLst/>
        </a:prstGeom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510540</xdr:colOff>
      <xdr:row>5</xdr:row>
      <xdr:rowOff>160020</xdr:rowOff>
    </xdr:from>
    <xdr:to>
      <xdr:col>6</xdr:col>
      <xdr:colOff>167005</xdr:colOff>
      <xdr:row>11</xdr:row>
      <xdr:rowOff>41275</xdr:rowOff>
    </xdr:to>
    <xdr:sp>
      <xdr:nvSpPr>
        <xdr:cNvPr id="5" name="Rounded Rectangle 4"/>
        <xdr:cNvSpPr/>
      </xdr:nvSpPr>
      <xdr:spPr>
        <a:xfrm>
          <a:off x="1865630" y="1036320"/>
          <a:ext cx="2366645" cy="9328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13</xdr:col>
      <xdr:colOff>652780</xdr:colOff>
      <xdr:row>6</xdr:row>
      <xdr:rowOff>5080</xdr:rowOff>
    </xdr:from>
    <xdr:to>
      <xdr:col>17</xdr:col>
      <xdr:colOff>309245</xdr:colOff>
      <xdr:row>11</xdr:row>
      <xdr:rowOff>60960</xdr:rowOff>
    </xdr:to>
    <xdr:sp>
      <xdr:nvSpPr>
        <xdr:cNvPr id="6" name="Rounded Rectangle 5"/>
        <xdr:cNvSpPr/>
      </xdr:nvSpPr>
      <xdr:spPr>
        <a:xfrm>
          <a:off x="9460865" y="1056640"/>
          <a:ext cx="2366645" cy="9321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294640</xdr:colOff>
      <xdr:row>5</xdr:row>
      <xdr:rowOff>172720</xdr:rowOff>
    </xdr:from>
    <xdr:to>
      <xdr:col>9</xdr:col>
      <xdr:colOff>628650</xdr:colOff>
      <xdr:row>11</xdr:row>
      <xdr:rowOff>53340</xdr:rowOff>
    </xdr:to>
    <xdr:sp>
      <xdr:nvSpPr>
        <xdr:cNvPr id="7" name="Rounded Rectangle 6"/>
        <xdr:cNvSpPr/>
      </xdr:nvSpPr>
      <xdr:spPr>
        <a:xfrm>
          <a:off x="4359910" y="1049020"/>
          <a:ext cx="2366645" cy="9321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142240</xdr:colOff>
      <xdr:row>6</xdr:row>
      <xdr:rowOff>12700</xdr:rowOff>
    </xdr:from>
    <xdr:to>
      <xdr:col>13</xdr:col>
      <xdr:colOff>476250</xdr:colOff>
      <xdr:row>11</xdr:row>
      <xdr:rowOff>68580</xdr:rowOff>
    </xdr:to>
    <xdr:sp>
      <xdr:nvSpPr>
        <xdr:cNvPr id="8" name="Rounded Rectangle 7"/>
        <xdr:cNvSpPr/>
      </xdr:nvSpPr>
      <xdr:spPr>
        <a:xfrm>
          <a:off x="6917690" y="1064260"/>
          <a:ext cx="2366645" cy="9321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519430</xdr:colOff>
      <xdr:row>6</xdr:row>
      <xdr:rowOff>1270</xdr:rowOff>
    </xdr:from>
    <xdr:to>
      <xdr:col>21</xdr:col>
      <xdr:colOff>175895</xdr:colOff>
      <xdr:row>11</xdr:row>
      <xdr:rowOff>57785</xdr:rowOff>
    </xdr:to>
    <xdr:sp>
      <xdr:nvSpPr>
        <xdr:cNvPr id="9" name="Rounded Rectangle 8"/>
        <xdr:cNvSpPr/>
      </xdr:nvSpPr>
      <xdr:spPr>
        <a:xfrm>
          <a:off x="12037695" y="1052830"/>
          <a:ext cx="2366645" cy="9328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635</xdr:colOff>
      <xdr:row>0</xdr:row>
      <xdr:rowOff>635</xdr:rowOff>
    </xdr:from>
    <xdr:to>
      <xdr:col>2</xdr:col>
      <xdr:colOff>364490</xdr:colOff>
      <xdr:row>7</xdr:row>
      <xdr:rowOff>16510</xdr:rowOff>
    </xdr:to>
    <xdr:pic>
      <xdr:nvPicPr>
        <xdr:cNvPr id="21" name="Picture 20" descr="quality-word-white-3d-text-styl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635"/>
          <a:ext cx="1718945" cy="1242695"/>
        </a:xfrm>
        <a:prstGeom prst="rect">
          <a:avLst/>
        </a:prstGeom>
      </xdr:spPr>
    </xdr:pic>
    <xdr:clientData/>
  </xdr:twoCellAnchor>
  <xdr:twoCellAnchor editAs="oneCell">
    <xdr:from>
      <xdr:col>17</xdr:col>
      <xdr:colOff>111125</xdr:colOff>
      <xdr:row>2</xdr:row>
      <xdr:rowOff>14605</xdr:rowOff>
    </xdr:from>
    <xdr:to>
      <xdr:col>17</xdr:col>
      <xdr:colOff>569595</xdr:colOff>
      <xdr:row>4</xdr:row>
      <xdr:rowOff>127000</xdr:rowOff>
    </xdr:to>
    <xdr:pic>
      <xdr:nvPicPr>
        <xdr:cNvPr id="28" name="Picture 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29390" y="365125"/>
          <a:ext cx="458470" cy="46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633095</xdr:colOff>
      <xdr:row>2</xdr:row>
      <xdr:rowOff>20320</xdr:rowOff>
    </xdr:from>
    <xdr:to>
      <xdr:col>18</xdr:col>
      <xdr:colOff>371475</xdr:colOff>
      <xdr:row>4</xdr:row>
      <xdr:rowOff>86360</xdr:rowOff>
    </xdr:to>
    <xdr:pic>
      <xdr:nvPicPr>
        <xdr:cNvPr id="30" name="Picture 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151360" y="370840"/>
          <a:ext cx="415925" cy="416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335915</xdr:colOff>
      <xdr:row>2</xdr:row>
      <xdr:rowOff>33655</xdr:rowOff>
    </xdr:from>
    <xdr:to>
      <xdr:col>17</xdr:col>
      <xdr:colOff>15240</xdr:colOff>
      <xdr:row>4</xdr:row>
      <xdr:rowOff>37465</xdr:rowOff>
    </xdr:to>
    <xdr:pic macro="[0]!Picture31_Click">
      <xdr:nvPicPr>
        <xdr:cNvPr id="32" name="Picture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176635" y="384175"/>
          <a:ext cx="356870" cy="35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529590</xdr:colOff>
      <xdr:row>0</xdr:row>
      <xdr:rowOff>140335</xdr:rowOff>
    </xdr:from>
    <xdr:to>
      <xdr:col>4</xdr:col>
      <xdr:colOff>40005</xdr:colOff>
      <xdr:row>5</xdr:row>
      <xdr:rowOff>131445</xdr:rowOff>
    </xdr:to>
    <xdr:pic>
      <xdr:nvPicPr>
        <xdr:cNvPr id="35" name="Picture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4680" y="140335"/>
          <a:ext cx="865505" cy="867410"/>
        </a:xfrm>
        <a:prstGeom prst="rect">
          <a:avLst/>
        </a:prstGeom>
        <a:noFill/>
        <a:ln w="9525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594360</xdr:colOff>
      <xdr:row>7</xdr:row>
      <xdr:rowOff>41910</xdr:rowOff>
    </xdr:from>
    <xdr:to>
      <xdr:col>3</xdr:col>
      <xdr:colOff>662305</xdr:colOff>
      <xdr:row>11</xdr:row>
      <xdr:rowOff>85725</xdr:rowOff>
    </xdr:to>
    <xdr:pic>
      <xdr:nvPicPr>
        <xdr:cNvPr id="36" name="Picture 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49450" y="1268730"/>
          <a:ext cx="74549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362585</xdr:colOff>
      <xdr:row>7</xdr:row>
      <xdr:rowOff>74930</xdr:rowOff>
    </xdr:from>
    <xdr:to>
      <xdr:col>7</xdr:col>
      <xdr:colOff>412115</xdr:colOff>
      <xdr:row>11</xdr:row>
      <xdr:rowOff>102235</xdr:rowOff>
    </xdr:to>
    <xdr:pic>
      <xdr:nvPicPr>
        <xdr:cNvPr id="37" name="Picture 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427855" y="1301750"/>
          <a:ext cx="727075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170180</xdr:colOff>
      <xdr:row>7</xdr:row>
      <xdr:rowOff>139065</xdr:rowOff>
    </xdr:from>
    <xdr:to>
      <xdr:col>11</xdr:col>
      <xdr:colOff>90805</xdr:colOff>
      <xdr:row>11</xdr:row>
      <xdr:rowOff>36830</xdr:rowOff>
    </xdr:to>
    <xdr:pic>
      <xdr:nvPicPr>
        <xdr:cNvPr id="38" name="Picture 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945630" y="1365885"/>
          <a:ext cx="59817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12700</xdr:colOff>
      <xdr:row>7</xdr:row>
      <xdr:rowOff>173355</xdr:rowOff>
    </xdr:from>
    <xdr:to>
      <xdr:col>14</xdr:col>
      <xdr:colOff>546735</xdr:colOff>
      <xdr:row>11</xdr:row>
      <xdr:rowOff>10160</xdr:rowOff>
    </xdr:to>
    <xdr:pic>
      <xdr:nvPicPr>
        <xdr:cNvPr id="39" name="Picture 3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498330" y="1400175"/>
          <a:ext cx="534035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573405</xdr:colOff>
      <xdr:row>7</xdr:row>
      <xdr:rowOff>151765</xdr:rowOff>
    </xdr:from>
    <xdr:to>
      <xdr:col>18</xdr:col>
      <xdr:colOff>436245</xdr:colOff>
      <xdr:row>10</xdr:row>
      <xdr:rowOff>167640</xdr:rowOff>
    </xdr:to>
    <xdr:pic>
      <xdr:nvPicPr>
        <xdr:cNvPr id="40" name="Picture 3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091670" y="1378585"/>
          <a:ext cx="540385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513080</xdr:colOff>
      <xdr:row>1</xdr:row>
      <xdr:rowOff>26670</xdr:rowOff>
    </xdr:from>
    <xdr:to>
      <xdr:col>16</xdr:col>
      <xdr:colOff>415925</xdr:colOff>
      <xdr:row>5</xdr:row>
      <xdr:rowOff>157480</xdr:rowOff>
    </xdr:to>
    <xdr:sp>
      <xdr:nvSpPr>
        <xdr:cNvPr id="41" name="Text Box 40"/>
        <xdr:cNvSpPr txBox="1"/>
      </xdr:nvSpPr>
      <xdr:spPr>
        <a:xfrm>
          <a:off x="2545715" y="201930"/>
          <a:ext cx="8710930" cy="83185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3600" b="1">
              <a:solidFill>
                <a:schemeClr val="bg1"/>
              </a:solidFill>
            </a:rPr>
            <a:t>EMPLOYEE PERFORMANCE DASHBOARD</a:t>
          </a:r>
          <a:endParaRPr lang="en-US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542290</xdr:colOff>
      <xdr:row>1</xdr:row>
      <xdr:rowOff>64770</xdr:rowOff>
    </xdr:from>
    <xdr:to>
      <xdr:col>21</xdr:col>
      <xdr:colOff>26670</xdr:colOff>
      <xdr:row>3</xdr:row>
      <xdr:rowOff>158750</xdr:rowOff>
    </xdr:to>
    <xdr:sp>
      <xdr:nvSpPr>
        <xdr:cNvPr id="42" name="Text Box 41"/>
        <xdr:cNvSpPr txBox="1"/>
      </xdr:nvSpPr>
      <xdr:spPr>
        <a:xfrm>
          <a:off x="12738100" y="240030"/>
          <a:ext cx="1517015" cy="44450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600" b="1">
              <a:solidFill>
                <a:schemeClr val="bg1"/>
              </a:solidFill>
            </a:rPr>
            <a:t>Data as on :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607695</xdr:colOff>
      <xdr:row>2</xdr:row>
      <xdr:rowOff>135255</xdr:rowOff>
    </xdr:from>
    <xdr:to>
      <xdr:col>20</xdr:col>
      <xdr:colOff>598170</xdr:colOff>
      <xdr:row>4</xdr:row>
      <xdr:rowOff>45720</xdr:rowOff>
    </xdr:to>
    <xdr:sp>
      <xdr:nvSpPr>
        <xdr:cNvPr id="44" name="Text Box 43"/>
        <xdr:cNvSpPr txBox="1"/>
      </xdr:nvSpPr>
      <xdr:spPr>
        <a:xfrm>
          <a:off x="12803505" y="485775"/>
          <a:ext cx="1345565" cy="2609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>
            <a:buClrTx/>
            <a:buSzTx/>
            <a:buFontTx/>
          </a:pPr>
          <a:r>
            <a:rPr lang="en-US" sz="1600" b="1">
              <a:solidFill>
                <a:schemeClr val="bg1"/>
              </a:solidFill>
            </a:rPr>
            <a:t>02 oct 2026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56515</xdr:colOff>
      <xdr:row>5</xdr:row>
      <xdr:rowOff>173355</xdr:rowOff>
    </xdr:from>
    <xdr:to>
      <xdr:col>6</xdr:col>
      <xdr:colOff>35560</xdr:colOff>
      <xdr:row>7</xdr:row>
      <xdr:rowOff>163830</xdr:rowOff>
    </xdr:to>
    <xdr:sp>
      <xdr:nvSpPr>
        <xdr:cNvPr id="46" name="Text Box 45"/>
        <xdr:cNvSpPr txBox="1"/>
      </xdr:nvSpPr>
      <xdr:spPr>
        <a:xfrm>
          <a:off x="2089150" y="1049655"/>
          <a:ext cx="2011680" cy="34099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rgbClr val="0070C0"/>
              </a:solidFill>
              <a:latin typeface="Microsoft YaHei" panose="020B0503020204020204" charset="-122"/>
              <a:ea typeface="Microsoft YaHei" panose="020B0503020204020204" charset="-122"/>
            </a:rPr>
            <a:t>TOTAL EMPLOYEES</a:t>
          </a:r>
          <a:endParaRPr lang="en-US" sz="1400" b="1">
            <a:solidFill>
              <a:srgbClr val="0070C0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13</xdr:col>
      <xdr:colOff>568960</xdr:colOff>
      <xdr:row>6</xdr:row>
      <xdr:rowOff>40005</xdr:rowOff>
    </xdr:from>
    <xdr:to>
      <xdr:col>17</xdr:col>
      <xdr:colOff>403860</xdr:colOff>
      <xdr:row>8</xdr:row>
      <xdr:rowOff>36195</xdr:rowOff>
    </xdr:to>
    <xdr:sp>
      <xdr:nvSpPr>
        <xdr:cNvPr id="48" name="Text Box 47"/>
        <xdr:cNvSpPr txBox="1"/>
      </xdr:nvSpPr>
      <xdr:spPr>
        <a:xfrm>
          <a:off x="9377045" y="1091565"/>
          <a:ext cx="2545080" cy="3467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chemeClr val="accent2"/>
              </a:solidFill>
              <a:latin typeface="Microsoft YaHei" panose="020B0503020204020204" charset="-122"/>
              <a:ea typeface="Microsoft YaHei" panose="020B0503020204020204" charset="-122"/>
            </a:rPr>
            <a:t>TOTAL COMPLETED TASK</a:t>
          </a:r>
          <a:endParaRPr lang="en-US" sz="1400" b="1">
            <a:solidFill>
              <a:schemeClr val="accent2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10</xdr:col>
      <xdr:colOff>285115</xdr:colOff>
      <xdr:row>5</xdr:row>
      <xdr:rowOff>173355</xdr:rowOff>
    </xdr:from>
    <xdr:to>
      <xdr:col>13</xdr:col>
      <xdr:colOff>521970</xdr:colOff>
      <xdr:row>8</xdr:row>
      <xdr:rowOff>29845</xdr:rowOff>
    </xdr:to>
    <xdr:sp>
      <xdr:nvSpPr>
        <xdr:cNvPr id="49" name="Text Box 48"/>
        <xdr:cNvSpPr txBox="1"/>
      </xdr:nvSpPr>
      <xdr:spPr>
        <a:xfrm>
          <a:off x="7060565" y="1049655"/>
          <a:ext cx="2269490" cy="38227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FF0000"/>
              </a:solidFill>
              <a:latin typeface="Microsoft YaHei" panose="020B0503020204020204" charset="-122"/>
              <a:ea typeface="Microsoft YaHei" panose="020B0503020204020204" charset="-122"/>
            </a:rPr>
            <a:t>AVG. ACHIEVEMENT</a:t>
          </a:r>
          <a:endParaRPr lang="en-US" sz="1400" b="1">
            <a:solidFill>
              <a:srgbClr val="FF0000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6</xdr:col>
      <xdr:colOff>439420</xdr:colOff>
      <xdr:row>5</xdr:row>
      <xdr:rowOff>159385</xdr:rowOff>
    </xdr:from>
    <xdr:to>
      <xdr:col>9</xdr:col>
      <xdr:colOff>480695</xdr:colOff>
      <xdr:row>7</xdr:row>
      <xdr:rowOff>98425</xdr:rowOff>
    </xdr:to>
    <xdr:sp>
      <xdr:nvSpPr>
        <xdr:cNvPr id="50" name="Text Box 49"/>
        <xdr:cNvSpPr txBox="1"/>
      </xdr:nvSpPr>
      <xdr:spPr>
        <a:xfrm>
          <a:off x="4504690" y="1035685"/>
          <a:ext cx="2073910" cy="289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7030A0"/>
              </a:solidFill>
              <a:latin typeface="Microsoft YaHei" panose="020B0503020204020204" charset="-122"/>
              <a:ea typeface="Microsoft YaHei" panose="020B0503020204020204" charset="-122"/>
            </a:rPr>
            <a:t>AVG. PRODUCTIVITY</a:t>
          </a:r>
          <a:endParaRPr lang="en-US" sz="1400" b="1">
            <a:solidFill>
              <a:srgbClr val="7030A0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17</xdr:col>
      <xdr:colOff>625475</xdr:colOff>
      <xdr:row>6</xdr:row>
      <xdr:rowOff>24130</xdr:rowOff>
    </xdr:from>
    <xdr:to>
      <xdr:col>21</xdr:col>
      <xdr:colOff>175895</xdr:colOff>
      <xdr:row>8</xdr:row>
      <xdr:rowOff>61595</xdr:rowOff>
    </xdr:to>
    <xdr:sp>
      <xdr:nvSpPr>
        <xdr:cNvPr id="51" name="Text Box 50"/>
        <xdr:cNvSpPr txBox="1"/>
      </xdr:nvSpPr>
      <xdr:spPr>
        <a:xfrm>
          <a:off x="12143740" y="1075690"/>
          <a:ext cx="2260600" cy="38798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FFC000"/>
              </a:solidFill>
              <a:latin typeface="Microsoft YaHei" panose="020B0503020204020204" charset="-122"/>
              <a:ea typeface="Microsoft YaHei" panose="020B0503020204020204" charset="-122"/>
            </a:rPr>
            <a:t>AVG. QUALITY SCORE</a:t>
          </a:r>
          <a:endParaRPr lang="en-US" sz="1400" b="1">
            <a:solidFill>
              <a:srgbClr val="FFC000"/>
            </a:solidFill>
            <a:latin typeface="Microsoft YaHei" panose="020B0503020204020204" charset="-122"/>
            <a:ea typeface="Microsoft YaHei" panose="020B0503020204020204" charset="-122"/>
          </a:endParaRPr>
        </a:p>
      </xdr:txBody>
    </xdr:sp>
    <xdr:clientData/>
  </xdr:twoCellAnchor>
  <xdr:twoCellAnchor>
    <xdr:from>
      <xdr:col>4</xdr:col>
      <xdr:colOff>331470</xdr:colOff>
      <xdr:row>7</xdr:row>
      <xdr:rowOff>36830</xdr:rowOff>
    </xdr:from>
    <xdr:to>
      <xdr:col>5</xdr:col>
      <xdr:colOff>636270</xdr:colOff>
      <xdr:row>11</xdr:row>
      <xdr:rowOff>12065</xdr:rowOff>
    </xdr:to>
    <xdr:sp>
      <xdr:nvSpPr>
        <xdr:cNvPr id="56" name="Text Box 55"/>
        <xdr:cNvSpPr txBox="1"/>
      </xdr:nvSpPr>
      <xdr:spPr>
        <a:xfrm>
          <a:off x="3041650" y="1263650"/>
          <a:ext cx="982345" cy="6762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4000" b="1">
              <a:solidFill>
                <a:schemeClr val="tx2">
                  <a:lumMod val="75000"/>
                  <a:lumOff val="25000"/>
                </a:schemeClr>
              </a:solidFill>
            </a:rPr>
            <a:t>89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476885</xdr:colOff>
      <xdr:row>7</xdr:row>
      <xdr:rowOff>20320</xdr:rowOff>
    </xdr:from>
    <xdr:to>
      <xdr:col>9</xdr:col>
      <xdr:colOff>654685</xdr:colOff>
      <xdr:row>11</xdr:row>
      <xdr:rowOff>60960</xdr:rowOff>
    </xdr:to>
    <xdr:sp>
      <xdr:nvSpPr>
        <xdr:cNvPr id="57" name="Text Box 56"/>
        <xdr:cNvSpPr txBox="1"/>
      </xdr:nvSpPr>
      <xdr:spPr>
        <a:xfrm>
          <a:off x="5219700" y="1247140"/>
          <a:ext cx="1532890" cy="7416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4000" b="1">
              <a:solidFill>
                <a:srgbClr val="7030A0"/>
              </a:solidFill>
            </a:rPr>
            <a:t>91.9%</a:t>
          </a:r>
          <a:endParaRPr lang="en-US" sz="1100">
            <a:solidFill>
              <a:srgbClr val="7030A0"/>
            </a:solidFill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199390</xdr:colOff>
      <xdr:row>7</xdr:row>
      <xdr:rowOff>31750</xdr:rowOff>
    </xdr:from>
    <xdr:to>
      <xdr:col>13</xdr:col>
      <xdr:colOff>512445</xdr:colOff>
      <xdr:row>11</xdr:row>
      <xdr:rowOff>6985</xdr:rowOff>
    </xdr:to>
    <xdr:sp>
      <xdr:nvSpPr>
        <xdr:cNvPr id="58" name="Text Box 57"/>
        <xdr:cNvSpPr txBox="1"/>
      </xdr:nvSpPr>
      <xdr:spPr>
        <a:xfrm>
          <a:off x="7652385" y="1258570"/>
          <a:ext cx="1668145" cy="6762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4000" b="1">
              <a:solidFill>
                <a:srgbClr val="FF0000"/>
              </a:solidFill>
            </a:rPr>
            <a:t>90.6%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109855</xdr:colOff>
      <xdr:row>7</xdr:row>
      <xdr:rowOff>66040</xdr:rowOff>
    </xdr:from>
    <xdr:to>
      <xdr:col>17</xdr:col>
      <xdr:colOff>148590</xdr:colOff>
      <xdr:row>11</xdr:row>
      <xdr:rowOff>2540</xdr:rowOff>
    </xdr:to>
    <xdr:sp>
      <xdr:nvSpPr>
        <xdr:cNvPr id="59" name="Text Box 58"/>
        <xdr:cNvSpPr txBox="1"/>
      </xdr:nvSpPr>
      <xdr:spPr>
        <a:xfrm>
          <a:off x="10273030" y="1292860"/>
          <a:ext cx="1393825" cy="6375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4000" b="1">
              <a:solidFill>
                <a:schemeClr val="accent2"/>
              </a:solidFill>
            </a:rPr>
            <a:t>1177</a:t>
          </a:r>
          <a:endParaRPr lang="en-US" sz="1100">
            <a:solidFill>
              <a:schemeClr val="accent2"/>
            </a:solidFill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471805</xdr:colOff>
      <xdr:row>7</xdr:row>
      <xdr:rowOff>33655</xdr:rowOff>
    </xdr:from>
    <xdr:to>
      <xdr:col>21</xdr:col>
      <xdr:colOff>71755</xdr:colOff>
      <xdr:row>11</xdr:row>
      <xdr:rowOff>8890</xdr:rowOff>
    </xdr:to>
    <xdr:sp>
      <xdr:nvSpPr>
        <xdr:cNvPr id="60" name="Text Box 59"/>
        <xdr:cNvSpPr txBox="1"/>
      </xdr:nvSpPr>
      <xdr:spPr>
        <a:xfrm>
          <a:off x="12667615" y="1260475"/>
          <a:ext cx="1632585" cy="6762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4000" b="1">
              <a:solidFill>
                <a:srgbClr val="FFC000"/>
              </a:solidFill>
            </a:rPr>
            <a:t>88.8%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509905</xdr:colOff>
      <xdr:row>11</xdr:row>
      <xdr:rowOff>138430</xdr:rowOff>
    </xdr:from>
    <xdr:to>
      <xdr:col>9</xdr:col>
      <xdr:colOff>103505</xdr:colOff>
      <xdr:row>26</xdr:row>
      <xdr:rowOff>13335</xdr:rowOff>
    </xdr:to>
    <xdr:graphicFrame>
      <xdr:nvGraphicFramePr>
        <xdr:cNvPr id="10" name="Chart 9"/>
        <xdr:cNvGraphicFramePr/>
      </xdr:nvGraphicFramePr>
      <xdr:xfrm>
        <a:off x="1864995" y="2066290"/>
        <a:ext cx="4336415" cy="2503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12</xdr:row>
      <xdr:rowOff>5080</xdr:rowOff>
    </xdr:from>
    <xdr:to>
      <xdr:col>14</xdr:col>
      <xdr:colOff>363220</xdr:colOff>
      <xdr:row>26</xdr:row>
      <xdr:rowOff>26035</xdr:rowOff>
    </xdr:to>
    <xdr:graphicFrame>
      <xdr:nvGraphicFramePr>
        <xdr:cNvPr id="11" name="Chart 10"/>
        <xdr:cNvGraphicFramePr/>
      </xdr:nvGraphicFramePr>
      <xdr:xfrm>
        <a:off x="6431280" y="2108200"/>
        <a:ext cx="3417570" cy="2474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537845</xdr:colOff>
      <xdr:row>12</xdr:row>
      <xdr:rowOff>20320</xdr:rowOff>
    </xdr:from>
    <xdr:to>
      <xdr:col>21</xdr:col>
      <xdr:colOff>233680</xdr:colOff>
      <xdr:row>26</xdr:row>
      <xdr:rowOff>34290</xdr:rowOff>
    </xdr:to>
    <xdr:graphicFrame>
      <xdr:nvGraphicFramePr>
        <xdr:cNvPr id="12" name="Chart 11"/>
        <xdr:cNvGraphicFramePr/>
      </xdr:nvGraphicFramePr>
      <xdr:xfrm>
        <a:off x="10023475" y="2123440"/>
        <a:ext cx="4438650" cy="2467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508635</xdr:colOff>
      <xdr:row>26</xdr:row>
      <xdr:rowOff>121285</xdr:rowOff>
    </xdr:from>
    <xdr:to>
      <xdr:col>9</xdr:col>
      <xdr:colOff>115570</xdr:colOff>
      <xdr:row>41</xdr:row>
      <xdr:rowOff>140335</xdr:rowOff>
    </xdr:to>
    <xdr:graphicFrame>
      <xdr:nvGraphicFramePr>
        <xdr:cNvPr id="13" name="Chart 12"/>
        <xdr:cNvGraphicFramePr/>
      </xdr:nvGraphicFramePr>
      <xdr:xfrm>
        <a:off x="1863725" y="4678045"/>
        <a:ext cx="43497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282575</xdr:colOff>
      <xdr:row>26</xdr:row>
      <xdr:rowOff>162560</xdr:rowOff>
    </xdr:from>
    <xdr:to>
      <xdr:col>15</xdr:col>
      <xdr:colOff>294005</xdr:colOff>
      <xdr:row>41</xdr:row>
      <xdr:rowOff>116840</xdr:rowOff>
    </xdr:to>
    <xdr:graphicFrame>
      <xdr:nvGraphicFramePr>
        <xdr:cNvPr id="15" name="Chart 14"/>
        <xdr:cNvGraphicFramePr/>
      </xdr:nvGraphicFramePr>
      <xdr:xfrm>
        <a:off x="6380480" y="4719320"/>
        <a:ext cx="4076700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450850</xdr:colOff>
      <xdr:row>26</xdr:row>
      <xdr:rowOff>170815</xdr:rowOff>
    </xdr:from>
    <xdr:to>
      <xdr:col>21</xdr:col>
      <xdr:colOff>305435</xdr:colOff>
      <xdr:row>41</xdr:row>
      <xdr:rowOff>112395</xdr:rowOff>
    </xdr:to>
    <xdr:graphicFrame>
      <xdr:nvGraphicFramePr>
        <xdr:cNvPr id="16" name="Chart 15"/>
        <xdr:cNvGraphicFramePr/>
      </xdr:nvGraphicFramePr>
      <xdr:xfrm>
        <a:off x="10614025" y="4727575"/>
        <a:ext cx="3919855" cy="257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130810</xdr:colOff>
      <xdr:row>16</xdr:row>
      <xdr:rowOff>40005</xdr:rowOff>
    </xdr:from>
    <xdr:to>
      <xdr:col>2</xdr:col>
      <xdr:colOff>295275</xdr:colOff>
      <xdr:row>26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erformance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10" y="2844165"/>
              <a:ext cx="1519555" cy="1791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137795</xdr:colOff>
      <xdr:row>26</xdr:row>
      <xdr:rowOff>169545</xdr:rowOff>
    </xdr:from>
    <xdr:to>
      <xdr:col>2</xdr:col>
      <xdr:colOff>291465</xdr:colOff>
      <xdr:row>40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95" y="4726305"/>
              <a:ext cx="1508760" cy="2393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133985</xdr:colOff>
      <xdr:row>5</xdr:row>
      <xdr:rowOff>100965</xdr:rowOff>
    </xdr:from>
    <xdr:to>
      <xdr:col>2</xdr:col>
      <xdr:colOff>283210</xdr:colOff>
      <xdr:row>15</xdr:row>
      <xdr:rowOff>146685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85" y="977265"/>
              <a:ext cx="1504315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1.8253240741" refreshedBy="mohit" recordCount="89">
  <cacheSource type="worksheet">
    <worksheetSource name="Table1"/>
  </cacheSource>
  <cacheFields count="18">
    <cacheField name="Date" numFmtId="184">
      <sharedItems containsSemiMixedTypes="0" containsString="0" containsNonDate="0" containsDate="1" minDate="2026-01-01T00:00:00" maxDate="2026-07-18T00:00:00" count="89">
        <d v="2026-01-01T00:00:00"/>
        <d v="2026-01-03T00:00:00"/>
        <d v="2026-01-05T00:00:00"/>
        <d v="2026-01-07T00:00:00"/>
        <d v="2026-01-09T00:00:00"/>
        <d v="2026-01-11T00:00:00"/>
        <d v="2026-01-13T00:00:00"/>
        <d v="2026-01-15T00:00:00"/>
        <d v="2026-01-17T00:00:00"/>
        <d v="2026-01-19T00:00:00"/>
        <d v="2026-01-23T00:00:00"/>
        <d v="2026-01-25T00:00:00"/>
        <d v="2026-01-27T00:00:00"/>
        <d v="2026-01-29T00:00:00"/>
        <d v="2026-01-31T00:00:00"/>
        <d v="2026-02-02T00:00:00"/>
        <d v="2026-02-04T00:00:00"/>
        <d v="2026-02-08T00:00:00"/>
        <d v="2026-02-10T00:00:00"/>
        <d v="2026-02-12T00:00:00"/>
        <d v="2026-02-14T00:00:00"/>
        <d v="2026-02-16T00:00:00"/>
        <d v="2026-02-18T00:00:00"/>
        <d v="2026-02-20T00:00:00"/>
        <d v="2026-02-22T00:00:00"/>
        <d v="2026-02-24T00:00:00"/>
        <d v="2026-02-28T00:00:00"/>
        <d v="2026-03-02T00:00:00"/>
        <d v="2026-03-04T00:00:00"/>
        <d v="2026-03-06T00:00:00"/>
        <d v="2026-03-08T00:00:00"/>
        <d v="2026-03-10T00:00:00"/>
        <d v="2026-03-12T00:00:00"/>
        <d v="2026-03-14T00:00:00"/>
        <d v="2026-03-16T00:00:00"/>
        <d v="2026-03-20T00:00:00"/>
        <d v="2026-03-22T00:00:00"/>
        <d v="2026-03-24T00:00:00"/>
        <d v="2026-03-26T00:00:00"/>
        <d v="2026-03-28T00:00:00"/>
        <d v="2026-03-30T00:00:00"/>
        <d v="2026-04-01T00:00:00"/>
        <d v="2026-04-05T00:00:00"/>
        <d v="2026-04-07T00:00:00"/>
        <d v="2026-04-09T00:00:00"/>
        <d v="2026-04-11T00:00:00"/>
        <d v="2026-04-13T00:00:00"/>
        <d v="2026-04-15T00:00:00"/>
        <d v="2026-04-19T00:00:00"/>
        <d v="2026-04-21T00:00:00"/>
        <d v="2026-04-23T00:00:00"/>
        <d v="2026-04-25T00:00:00"/>
        <d v="2026-04-27T00:00:00"/>
        <d v="2026-04-29T00:00:00"/>
        <d v="2026-05-01T00:00:00"/>
        <d v="2026-05-03T00:00:00"/>
        <d v="2026-05-07T00:00:00"/>
        <d v="2026-05-09T00:00:00"/>
        <d v="2026-05-11T00:00:00"/>
        <d v="2026-05-13T00:00:00"/>
        <d v="2026-05-15T00:00:00"/>
        <d v="2026-05-17T00:00:00"/>
        <d v="2026-05-21T00:00:00"/>
        <d v="2026-05-23T00:00:00"/>
        <d v="2026-05-25T00:00:00"/>
        <d v="2026-05-27T00:00:00"/>
        <d v="2026-05-29T00:00:00"/>
        <d v="2026-05-31T00:00:00"/>
        <d v="2026-06-02T00:00:00"/>
        <d v="2026-06-06T00:00:00"/>
        <d v="2026-06-08T00:00:00"/>
        <d v="2026-06-10T00:00:00"/>
        <d v="2026-06-12T00:00:00"/>
        <d v="2026-06-14T00:00:00"/>
        <d v="2026-06-16T00:00:00"/>
        <d v="2026-06-20T00:00:00"/>
        <d v="2026-06-22T00:00:00"/>
        <d v="2026-06-24T00:00:00"/>
        <d v="2026-06-26T00:00:00"/>
        <d v="2026-06-28T00:00:00"/>
        <d v="2026-06-30T00:00:00"/>
        <d v="2026-07-02T00:00:00"/>
        <d v="2026-07-06T00:00:00"/>
        <d v="2026-07-08T00:00:00"/>
        <d v="2026-07-10T00:00:00"/>
        <d v="2026-07-12T00:00:00"/>
        <d v="2026-07-14T00:00:00"/>
        <d v="2026-07-16T00:00:00"/>
        <d v="2026-07-18T00:00:00"/>
      </sharedItems>
    </cacheField>
    <cacheField name="Month" numFmtId="0">
      <sharedItems count="7">
        <s v="Jan"/>
        <s v="Feb"/>
        <s v="Mar"/>
        <s v="Apr"/>
        <s v="May"/>
        <s v="Jun"/>
        <s v="Jul"/>
      </sharedItems>
    </cacheField>
    <cacheField name="Emp ID" numFmtId="0">
      <sharedItems count="20">
        <s v="EMP001"/>
        <s v="EMP002"/>
        <s v="EMP003"/>
        <s v="EMP004"/>
        <s v="EMP005"/>
        <s v="EMP006"/>
        <s v="EMP007"/>
        <s v="EMP008"/>
        <s v="EMP009"/>
        <s v="EMP010"/>
        <s v="EMP012"/>
        <s v="EMP013"/>
        <s v="EMP014"/>
        <s v="EMP015"/>
        <s v="EMP016"/>
        <s v="EMP017"/>
        <s v="EMP018"/>
        <s v="EMP020"/>
        <s v="EMP011"/>
        <s v="EMP019"/>
      </sharedItems>
    </cacheField>
    <cacheField name="Employee Name" numFmtId="0">
      <sharedItems count="20">
        <s v="James Smith"/>
        <s v="Mary Johnson"/>
        <s v="Robert Williams"/>
        <s v="Jennifer Brown"/>
        <s v="Michael Jones"/>
        <s v="Linda Garcia"/>
        <s v="David Miller"/>
        <s v="Sarah Davis"/>
        <s v="John Rodriguez"/>
        <s v="Emily Martinez"/>
        <s v="Jessica Lopez"/>
        <s v="Christopher Wilson"/>
        <s v="Amanda Anderson"/>
        <s v="Matthew Taylor"/>
        <s v="Ashley Thomas"/>
        <s v="Andrew Moore"/>
        <s v="Olivia Jackson"/>
        <s v="Sophia Lee"/>
        <s v="Daniel Hernandez"/>
        <s v="Joshua Martin"/>
      </sharedItems>
    </cacheField>
    <cacheField name="Department" numFmtId="0">
      <sharedItems count="6">
        <s v="Sales"/>
        <s v="Marketing"/>
        <s v="Finance"/>
        <s v="HR"/>
        <s v="Operations"/>
        <s v="IT"/>
      </sharedItems>
    </cacheField>
    <cacheField name="Region" numFmtId="0">
      <sharedItems count="4">
        <s v="California"/>
        <s v="Texas"/>
        <s v="Florida"/>
        <s v="New York"/>
      </sharedItems>
    </cacheField>
    <cacheField name="Working Days" numFmtId="0">
      <sharedItems containsSemiMixedTypes="0" containsString="0" containsNumber="1" containsInteger="1" minValue="20" maxValue="22" count="3">
        <n v="22"/>
        <n v="20"/>
        <n v="21"/>
      </sharedItems>
    </cacheField>
    <cacheField name="Attendance Status" numFmtId="0">
      <sharedItems count="3">
        <s v="Present"/>
        <s v="Leave"/>
        <s v="Work From Home"/>
      </sharedItems>
    </cacheField>
    <cacheField name="Target Tasks" numFmtId="0">
      <sharedItems containsSemiMixedTypes="0" containsString="0" containsNumber="1" containsInteger="1" minValue="8" maxValue="20" count="13">
        <n v="8"/>
        <n v="19"/>
        <n v="11"/>
        <n v="16"/>
        <n v="9"/>
        <n v="12"/>
        <n v="17"/>
        <n v="13"/>
        <n v="10"/>
        <n v="15"/>
        <n v="20"/>
        <n v="18"/>
        <n v="14"/>
      </sharedItems>
    </cacheField>
    <cacheField name="Completed Tasks" numFmtId="0">
      <sharedItems containsSemiMixedTypes="0" containsString="0" containsNumber="1" containsInteger="1" minValue="5" maxValue="23" count="19">
        <n v="10"/>
        <n v="20"/>
        <n v="12"/>
        <n v="16"/>
        <n v="19"/>
        <n v="9"/>
        <n v="15"/>
        <n v="14"/>
        <n v="11"/>
        <n v="17"/>
        <n v="13"/>
        <n v="22"/>
        <n v="21"/>
        <n v="8"/>
        <n v="18"/>
        <n v="23"/>
        <n v="6"/>
        <n v="7"/>
        <n v="5"/>
      </sharedItems>
    </cacheField>
    <cacheField name="Pending Tasks" numFmtId="0">
      <sharedItems containsSemiMixedTypes="0" containsString="0" containsNumber="1" containsInteger="1" minValue="0" maxValue="70" count="9">
        <n v="0"/>
        <n v="10"/>
        <n v="30"/>
        <n v="40"/>
        <n v="50"/>
        <n v="2"/>
        <n v="1"/>
        <n v="3"/>
        <n v="70"/>
      </sharedItems>
    </cacheField>
    <cacheField name="Target Hours" numFmtId="0">
      <sharedItems containsSemiMixedTypes="0" containsString="0" containsNumber="1" containsInteger="1" minValue="7" maxValue="9" count="3">
        <n v="8"/>
        <n v="7"/>
        <n v="9"/>
      </sharedItems>
    </cacheField>
    <cacheField name="Actual Hours" numFmtId="0">
      <sharedItems containsSemiMixedTypes="0" containsString="0" containsNumber="1" minValue="5.1" maxValue="11" count="43">
        <n v="8.5"/>
        <n v="6.8"/>
        <n v="9.7"/>
        <n v="8.7"/>
        <n v="7.7"/>
        <n v="6.7"/>
        <n v="10.7"/>
        <n v="9.8"/>
        <n v="6.5"/>
        <n v="8.6"/>
        <n v="9.3"/>
        <n v="5.9"/>
        <n v="7.1"/>
        <n v="6.4"/>
        <n v="7.9"/>
        <n v="7.3"/>
        <n v="5.4"/>
        <n v="9.6"/>
        <n v="7.8"/>
        <n v="9.1"/>
        <n v="7.4"/>
        <n v="8.1"/>
        <n v="9.4"/>
        <n v="6.3"/>
        <n v="11"/>
        <n v="9"/>
        <n v="5.8"/>
        <n v="9.9"/>
        <n v="5.7"/>
        <n v="8.2"/>
        <n v="6.2"/>
        <n v="10.2"/>
        <n v="6.1"/>
        <n v="8.3"/>
        <n v="8"/>
        <n v="10.1"/>
        <n v="10.5"/>
        <n v="8.4"/>
        <n v="5.1"/>
        <n v="10.6"/>
        <n v="10"/>
        <n v="7.6"/>
        <n v="7"/>
      </sharedItems>
    </cacheField>
    <cacheField name="Overtime Hours" numFmtId="0">
      <sharedItems containsSemiMixedTypes="0" containsString="0" containsNumber="1" minValue="0" maxValue="2" count="17">
        <n v="0.5"/>
        <n v="0"/>
        <n v="0.7"/>
        <n v="1.7"/>
        <n v="0.8"/>
        <n v="0.6"/>
        <n v="0.3"/>
        <n v="1.6"/>
        <n v="0.1"/>
        <n v="0.4"/>
        <n v="2"/>
        <n v="0.9"/>
        <n v="0.2"/>
        <n v="1.2"/>
        <n v="1.1"/>
        <n v="1"/>
        <n v="1.5"/>
      </sharedItems>
    </cacheField>
    <cacheField name="Productivity %" numFmtId="10">
      <sharedItems containsSemiMixedTypes="0" containsString="0" containsNumber="1" minValue="0.574" maxValue="1" count="48">
        <n v="1"/>
        <n v="0.992"/>
        <n v="0.964"/>
        <n v="0.977"/>
        <n v="0.94"/>
        <n v="0.868"/>
        <n v="0.993"/>
        <n v="0.846"/>
        <n v="0.859"/>
        <n v="0.984"/>
        <n v="0.858"/>
        <n v="0.946"/>
        <n v="0.847"/>
        <n v="0.898"/>
        <n v="0.792"/>
        <n v="0.761"/>
        <n v="0.727"/>
        <n v="0.753"/>
        <n v="0.867"/>
        <n v="0.907"/>
        <n v="0.851"/>
        <n v="0.67"/>
        <n v="0.755"/>
        <n v="0.633"/>
        <n v="0.88"/>
        <n v="0.894"/>
        <n v="0.675"/>
        <n v="0.897"/>
        <n v="0.826"/>
        <n v="0.98"/>
        <n v="0.95"/>
        <n v="0.876"/>
        <n v="0.917"/>
        <n v="0.678"/>
        <n v="0.574"/>
        <n v="0.997"/>
        <n v="0.949"/>
        <n v="0.885"/>
        <n v="0.87"/>
        <n v="0.768"/>
        <n v="0.821"/>
        <n v="0.893"/>
        <n v="0.925"/>
        <n v="0.911"/>
        <n v="0.781"/>
        <n v="0.962"/>
        <n v="0.828"/>
        <n v="0.76"/>
      </sharedItems>
    </cacheField>
    <cacheField name="Quality Score %" numFmtId="10">
      <sharedItems containsSemiMixedTypes="0" containsString="0" containsNumber="1" minValue="0.554" maxValue="1" count="57">
        <n v="0.911"/>
        <n v="0.887"/>
        <n v="0.924"/>
        <n v="0.933"/>
        <n v="0.891"/>
        <n v="1"/>
        <n v="0.918"/>
        <n v="0.934"/>
        <n v="0.895"/>
        <n v="0.921"/>
        <n v="0.863"/>
        <n v="0.912"/>
        <n v="0.772"/>
        <n v="0.905"/>
        <n v="0.976"/>
        <n v="0.87"/>
        <n v="0.78"/>
        <n v="0.916"/>
        <n v="0.93"/>
        <n v="0.801"/>
        <n v="0.654"/>
        <n v="0.754"/>
        <n v="0.711"/>
        <n v="0.889"/>
        <n v="0.829"/>
        <n v="0.923"/>
        <n v="0.636"/>
        <n v="0.648"/>
        <n v="0.554"/>
        <n v="0.972"/>
        <n v="0.861"/>
        <n v="0.896"/>
        <n v="0.967"/>
        <n v="0.615"/>
        <n v="0.973"/>
        <n v="0.835"/>
        <n v="0.739"/>
        <n v="0.906"/>
        <n v="0.919"/>
        <n v="0.971"/>
        <n v="0.898"/>
        <n v="0.63"/>
        <n v="0.666"/>
        <n v="0.798"/>
        <n v="0.951"/>
        <n v="0.963"/>
        <n v="0.927"/>
        <n v="0.817"/>
        <n v="0.964"/>
        <n v="0.712"/>
        <n v="0.99"/>
        <n v="0.904"/>
        <n v="0.695"/>
        <n v="0.884"/>
        <n v="0.734"/>
        <n v="0.879"/>
        <n v="0.647"/>
      </sharedItems>
    </cacheField>
    <cacheField name="Achievement %" numFmtId="10">
      <sharedItems containsSemiMixedTypes="0" containsString="0" containsNumber="1" minValue="0.601" maxValue="1" count="60">
        <n v="0.964"/>
        <n v="0.955"/>
        <n v="0.97"/>
        <n v="0.968"/>
        <n v="0.935"/>
        <n v="0.959"/>
        <n v="1"/>
        <n v="0.888"/>
        <n v="0.996"/>
        <n v="0.974"/>
        <n v="0.958"/>
        <n v="0.876"/>
        <n v="0.861"/>
        <n v="0.824"/>
        <n v="0.962"/>
        <n v="0.99"/>
        <n v="0.916"/>
        <n v="0.82"/>
        <n v="0.966"/>
        <n v="0.911"/>
        <n v="0.796"/>
        <n v="0.718"/>
        <n v="0.738"/>
        <n v="0.973"/>
        <n v="0.736"/>
        <n v="0.88"/>
        <n v="0.656"/>
        <n v="0.712"/>
        <n v="0.601"/>
        <n v="0.989"/>
        <n v="0.872"/>
        <n v="0.923"/>
        <n v="0.651"/>
        <n v="0.791"/>
        <n v="0.95"/>
        <n v="0.938"/>
        <n v="0.899"/>
        <n v="0.988"/>
        <n v="0.909"/>
        <n v="0.659"/>
        <n v="0.611"/>
        <n v="0.845"/>
        <n v="0.998"/>
        <n v="0.901"/>
        <n v="0.98"/>
        <n v="0.893"/>
        <n v="0.788"/>
        <n v="0.986"/>
        <n v="0.777"/>
        <n v="0.932"/>
        <n v="0.917"/>
        <n v="0.891"/>
        <n v="0.747"/>
        <n v="0.954"/>
        <n v="0.754"/>
        <n v="0.907"/>
        <n v="0.977"/>
        <n v="0.809"/>
        <n v="0.956"/>
        <n v="0.715"/>
      </sharedItems>
    </cacheField>
    <cacheField name="Performance Status" numFmtId="0">
      <sharedItems count="3">
        <s v="High Performer"/>
        <s v="On Track"/>
        <s v="Needs Improvem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1"/>
    <x v="1"/>
    <x v="1"/>
    <x v="1"/>
    <x v="1"/>
    <x v="0"/>
    <x v="1"/>
    <x v="1"/>
    <x v="1"/>
    <x v="0"/>
    <x v="1"/>
    <x v="1"/>
    <x v="0"/>
  </r>
  <r>
    <x v="2"/>
    <x v="0"/>
    <x v="2"/>
    <x v="2"/>
    <x v="1"/>
    <x v="2"/>
    <x v="1"/>
    <x v="0"/>
    <x v="2"/>
    <x v="2"/>
    <x v="0"/>
    <x v="2"/>
    <x v="2"/>
    <x v="2"/>
    <x v="0"/>
    <x v="2"/>
    <x v="2"/>
    <x v="0"/>
  </r>
  <r>
    <x v="3"/>
    <x v="0"/>
    <x v="3"/>
    <x v="3"/>
    <x v="1"/>
    <x v="0"/>
    <x v="0"/>
    <x v="1"/>
    <x v="3"/>
    <x v="3"/>
    <x v="0"/>
    <x v="1"/>
    <x v="3"/>
    <x v="3"/>
    <x v="1"/>
    <x v="3"/>
    <x v="3"/>
    <x v="0"/>
  </r>
  <r>
    <x v="4"/>
    <x v="0"/>
    <x v="4"/>
    <x v="4"/>
    <x v="2"/>
    <x v="3"/>
    <x v="1"/>
    <x v="0"/>
    <x v="1"/>
    <x v="4"/>
    <x v="0"/>
    <x v="0"/>
    <x v="4"/>
    <x v="1"/>
    <x v="2"/>
    <x v="4"/>
    <x v="4"/>
    <x v="0"/>
  </r>
  <r>
    <x v="5"/>
    <x v="0"/>
    <x v="5"/>
    <x v="5"/>
    <x v="2"/>
    <x v="1"/>
    <x v="2"/>
    <x v="0"/>
    <x v="4"/>
    <x v="5"/>
    <x v="1"/>
    <x v="1"/>
    <x v="5"/>
    <x v="1"/>
    <x v="3"/>
    <x v="3"/>
    <x v="5"/>
    <x v="0"/>
  </r>
  <r>
    <x v="6"/>
    <x v="0"/>
    <x v="6"/>
    <x v="6"/>
    <x v="3"/>
    <x v="2"/>
    <x v="2"/>
    <x v="0"/>
    <x v="1"/>
    <x v="4"/>
    <x v="0"/>
    <x v="2"/>
    <x v="6"/>
    <x v="3"/>
    <x v="4"/>
    <x v="5"/>
    <x v="0"/>
    <x v="0"/>
  </r>
  <r>
    <x v="7"/>
    <x v="0"/>
    <x v="7"/>
    <x v="7"/>
    <x v="3"/>
    <x v="0"/>
    <x v="1"/>
    <x v="2"/>
    <x v="5"/>
    <x v="6"/>
    <x v="0"/>
    <x v="2"/>
    <x v="7"/>
    <x v="4"/>
    <x v="0"/>
    <x v="5"/>
    <x v="6"/>
    <x v="0"/>
  </r>
  <r>
    <x v="8"/>
    <x v="0"/>
    <x v="8"/>
    <x v="8"/>
    <x v="4"/>
    <x v="3"/>
    <x v="0"/>
    <x v="0"/>
    <x v="1"/>
    <x v="3"/>
    <x v="2"/>
    <x v="1"/>
    <x v="8"/>
    <x v="1"/>
    <x v="5"/>
    <x v="6"/>
    <x v="7"/>
    <x v="1"/>
  </r>
  <r>
    <x v="9"/>
    <x v="0"/>
    <x v="9"/>
    <x v="9"/>
    <x v="4"/>
    <x v="2"/>
    <x v="1"/>
    <x v="0"/>
    <x v="4"/>
    <x v="5"/>
    <x v="3"/>
    <x v="0"/>
    <x v="9"/>
    <x v="5"/>
    <x v="6"/>
    <x v="5"/>
    <x v="8"/>
    <x v="0"/>
  </r>
  <r>
    <x v="10"/>
    <x v="0"/>
    <x v="10"/>
    <x v="10"/>
    <x v="5"/>
    <x v="0"/>
    <x v="0"/>
    <x v="0"/>
    <x v="6"/>
    <x v="4"/>
    <x v="0"/>
    <x v="1"/>
    <x v="8"/>
    <x v="1"/>
    <x v="0"/>
    <x v="7"/>
    <x v="9"/>
    <x v="0"/>
  </r>
  <r>
    <x v="11"/>
    <x v="0"/>
    <x v="11"/>
    <x v="11"/>
    <x v="0"/>
    <x v="3"/>
    <x v="2"/>
    <x v="0"/>
    <x v="5"/>
    <x v="7"/>
    <x v="4"/>
    <x v="2"/>
    <x v="10"/>
    <x v="6"/>
    <x v="0"/>
    <x v="5"/>
    <x v="6"/>
    <x v="0"/>
  </r>
  <r>
    <x v="12"/>
    <x v="0"/>
    <x v="12"/>
    <x v="12"/>
    <x v="1"/>
    <x v="1"/>
    <x v="1"/>
    <x v="0"/>
    <x v="0"/>
    <x v="8"/>
    <x v="0"/>
    <x v="0"/>
    <x v="11"/>
    <x v="1"/>
    <x v="0"/>
    <x v="8"/>
    <x v="10"/>
    <x v="0"/>
  </r>
  <r>
    <x v="13"/>
    <x v="0"/>
    <x v="13"/>
    <x v="13"/>
    <x v="2"/>
    <x v="2"/>
    <x v="0"/>
    <x v="1"/>
    <x v="7"/>
    <x v="8"/>
    <x v="5"/>
    <x v="2"/>
    <x v="12"/>
    <x v="1"/>
    <x v="7"/>
    <x v="9"/>
    <x v="11"/>
    <x v="1"/>
  </r>
  <r>
    <x v="14"/>
    <x v="0"/>
    <x v="14"/>
    <x v="14"/>
    <x v="3"/>
    <x v="3"/>
    <x v="0"/>
    <x v="0"/>
    <x v="8"/>
    <x v="5"/>
    <x v="6"/>
    <x v="1"/>
    <x v="13"/>
    <x v="1"/>
    <x v="8"/>
    <x v="10"/>
    <x v="12"/>
    <x v="1"/>
  </r>
  <r>
    <x v="15"/>
    <x v="1"/>
    <x v="15"/>
    <x v="15"/>
    <x v="4"/>
    <x v="0"/>
    <x v="2"/>
    <x v="1"/>
    <x v="6"/>
    <x v="9"/>
    <x v="0"/>
    <x v="2"/>
    <x v="14"/>
    <x v="1"/>
    <x v="9"/>
    <x v="11"/>
    <x v="1"/>
    <x v="0"/>
  </r>
  <r>
    <x v="16"/>
    <x v="1"/>
    <x v="16"/>
    <x v="16"/>
    <x v="5"/>
    <x v="2"/>
    <x v="1"/>
    <x v="2"/>
    <x v="9"/>
    <x v="2"/>
    <x v="7"/>
    <x v="1"/>
    <x v="15"/>
    <x v="6"/>
    <x v="10"/>
    <x v="12"/>
    <x v="13"/>
    <x v="1"/>
  </r>
  <r>
    <x v="17"/>
    <x v="1"/>
    <x v="17"/>
    <x v="17"/>
    <x v="1"/>
    <x v="3"/>
    <x v="2"/>
    <x v="2"/>
    <x v="5"/>
    <x v="10"/>
    <x v="8"/>
    <x v="1"/>
    <x v="16"/>
    <x v="1"/>
    <x v="0"/>
    <x v="13"/>
    <x v="14"/>
    <x v="0"/>
  </r>
  <r>
    <x v="18"/>
    <x v="1"/>
    <x v="0"/>
    <x v="0"/>
    <x v="0"/>
    <x v="0"/>
    <x v="0"/>
    <x v="0"/>
    <x v="10"/>
    <x v="11"/>
    <x v="0"/>
    <x v="0"/>
    <x v="17"/>
    <x v="7"/>
    <x v="0"/>
    <x v="14"/>
    <x v="15"/>
    <x v="0"/>
  </r>
  <r>
    <x v="19"/>
    <x v="1"/>
    <x v="1"/>
    <x v="1"/>
    <x v="0"/>
    <x v="1"/>
    <x v="2"/>
    <x v="0"/>
    <x v="1"/>
    <x v="12"/>
    <x v="0"/>
    <x v="0"/>
    <x v="18"/>
    <x v="1"/>
    <x v="0"/>
    <x v="5"/>
    <x v="6"/>
    <x v="0"/>
  </r>
  <r>
    <x v="20"/>
    <x v="1"/>
    <x v="2"/>
    <x v="2"/>
    <x v="1"/>
    <x v="2"/>
    <x v="0"/>
    <x v="0"/>
    <x v="11"/>
    <x v="9"/>
    <x v="6"/>
    <x v="2"/>
    <x v="19"/>
    <x v="8"/>
    <x v="11"/>
    <x v="15"/>
    <x v="16"/>
    <x v="0"/>
  </r>
  <r>
    <x v="21"/>
    <x v="1"/>
    <x v="3"/>
    <x v="3"/>
    <x v="1"/>
    <x v="0"/>
    <x v="2"/>
    <x v="0"/>
    <x v="3"/>
    <x v="4"/>
    <x v="0"/>
    <x v="2"/>
    <x v="20"/>
    <x v="1"/>
    <x v="0"/>
    <x v="5"/>
    <x v="6"/>
    <x v="0"/>
  </r>
  <r>
    <x v="22"/>
    <x v="1"/>
    <x v="4"/>
    <x v="4"/>
    <x v="2"/>
    <x v="3"/>
    <x v="2"/>
    <x v="0"/>
    <x v="4"/>
    <x v="13"/>
    <x v="6"/>
    <x v="0"/>
    <x v="20"/>
    <x v="1"/>
    <x v="12"/>
    <x v="16"/>
    <x v="17"/>
    <x v="1"/>
  </r>
  <r>
    <x v="23"/>
    <x v="1"/>
    <x v="5"/>
    <x v="5"/>
    <x v="2"/>
    <x v="1"/>
    <x v="0"/>
    <x v="0"/>
    <x v="4"/>
    <x v="8"/>
    <x v="0"/>
    <x v="0"/>
    <x v="21"/>
    <x v="8"/>
    <x v="0"/>
    <x v="5"/>
    <x v="6"/>
    <x v="0"/>
  </r>
  <r>
    <x v="24"/>
    <x v="1"/>
    <x v="6"/>
    <x v="6"/>
    <x v="3"/>
    <x v="2"/>
    <x v="0"/>
    <x v="0"/>
    <x v="8"/>
    <x v="2"/>
    <x v="0"/>
    <x v="0"/>
    <x v="5"/>
    <x v="1"/>
    <x v="0"/>
    <x v="17"/>
    <x v="18"/>
    <x v="0"/>
  </r>
  <r>
    <x v="25"/>
    <x v="1"/>
    <x v="7"/>
    <x v="7"/>
    <x v="3"/>
    <x v="0"/>
    <x v="0"/>
    <x v="2"/>
    <x v="12"/>
    <x v="2"/>
    <x v="5"/>
    <x v="2"/>
    <x v="22"/>
    <x v="9"/>
    <x v="13"/>
    <x v="18"/>
    <x v="19"/>
    <x v="0"/>
  </r>
  <r>
    <x v="26"/>
    <x v="1"/>
    <x v="9"/>
    <x v="9"/>
    <x v="4"/>
    <x v="2"/>
    <x v="2"/>
    <x v="0"/>
    <x v="2"/>
    <x v="5"/>
    <x v="5"/>
    <x v="1"/>
    <x v="5"/>
    <x v="1"/>
    <x v="14"/>
    <x v="19"/>
    <x v="20"/>
    <x v="1"/>
  </r>
  <r>
    <x v="27"/>
    <x v="2"/>
    <x v="18"/>
    <x v="18"/>
    <x v="5"/>
    <x v="1"/>
    <x v="1"/>
    <x v="2"/>
    <x v="2"/>
    <x v="13"/>
    <x v="7"/>
    <x v="1"/>
    <x v="23"/>
    <x v="1"/>
    <x v="15"/>
    <x v="20"/>
    <x v="21"/>
    <x v="2"/>
  </r>
  <r>
    <x v="28"/>
    <x v="2"/>
    <x v="10"/>
    <x v="10"/>
    <x v="5"/>
    <x v="0"/>
    <x v="1"/>
    <x v="0"/>
    <x v="7"/>
    <x v="0"/>
    <x v="7"/>
    <x v="2"/>
    <x v="24"/>
    <x v="10"/>
    <x v="16"/>
    <x v="21"/>
    <x v="22"/>
    <x v="2"/>
  </r>
  <r>
    <x v="29"/>
    <x v="2"/>
    <x v="11"/>
    <x v="11"/>
    <x v="0"/>
    <x v="3"/>
    <x v="1"/>
    <x v="2"/>
    <x v="8"/>
    <x v="2"/>
    <x v="0"/>
    <x v="2"/>
    <x v="25"/>
    <x v="1"/>
    <x v="0"/>
    <x v="3"/>
    <x v="23"/>
    <x v="0"/>
  </r>
  <r>
    <x v="30"/>
    <x v="2"/>
    <x v="12"/>
    <x v="12"/>
    <x v="1"/>
    <x v="1"/>
    <x v="2"/>
    <x v="0"/>
    <x v="2"/>
    <x v="13"/>
    <x v="4"/>
    <x v="1"/>
    <x v="26"/>
    <x v="1"/>
    <x v="17"/>
    <x v="22"/>
    <x v="24"/>
    <x v="2"/>
  </r>
  <r>
    <x v="31"/>
    <x v="2"/>
    <x v="13"/>
    <x v="13"/>
    <x v="2"/>
    <x v="2"/>
    <x v="2"/>
    <x v="0"/>
    <x v="1"/>
    <x v="3"/>
    <x v="7"/>
    <x v="2"/>
    <x v="27"/>
    <x v="11"/>
    <x v="18"/>
    <x v="23"/>
    <x v="11"/>
    <x v="1"/>
  </r>
  <r>
    <x v="32"/>
    <x v="2"/>
    <x v="14"/>
    <x v="14"/>
    <x v="3"/>
    <x v="3"/>
    <x v="1"/>
    <x v="0"/>
    <x v="1"/>
    <x v="14"/>
    <x v="6"/>
    <x v="1"/>
    <x v="28"/>
    <x v="1"/>
    <x v="19"/>
    <x v="24"/>
    <x v="11"/>
    <x v="1"/>
  </r>
  <r>
    <x v="33"/>
    <x v="2"/>
    <x v="15"/>
    <x v="15"/>
    <x v="4"/>
    <x v="0"/>
    <x v="2"/>
    <x v="0"/>
    <x v="12"/>
    <x v="2"/>
    <x v="5"/>
    <x v="0"/>
    <x v="29"/>
    <x v="12"/>
    <x v="20"/>
    <x v="25"/>
    <x v="25"/>
    <x v="1"/>
  </r>
  <r>
    <x v="34"/>
    <x v="2"/>
    <x v="16"/>
    <x v="16"/>
    <x v="5"/>
    <x v="2"/>
    <x v="1"/>
    <x v="0"/>
    <x v="10"/>
    <x v="15"/>
    <x v="0"/>
    <x v="2"/>
    <x v="1"/>
    <x v="1"/>
    <x v="0"/>
    <x v="5"/>
    <x v="6"/>
    <x v="0"/>
  </r>
  <r>
    <x v="35"/>
    <x v="2"/>
    <x v="17"/>
    <x v="17"/>
    <x v="1"/>
    <x v="3"/>
    <x v="1"/>
    <x v="0"/>
    <x v="0"/>
    <x v="16"/>
    <x v="5"/>
    <x v="0"/>
    <x v="29"/>
    <x v="12"/>
    <x v="21"/>
    <x v="26"/>
    <x v="26"/>
    <x v="2"/>
  </r>
  <r>
    <x v="36"/>
    <x v="2"/>
    <x v="0"/>
    <x v="0"/>
    <x v="0"/>
    <x v="0"/>
    <x v="2"/>
    <x v="0"/>
    <x v="12"/>
    <x v="3"/>
    <x v="0"/>
    <x v="2"/>
    <x v="7"/>
    <x v="4"/>
    <x v="0"/>
    <x v="5"/>
    <x v="6"/>
    <x v="0"/>
  </r>
  <r>
    <x v="37"/>
    <x v="2"/>
    <x v="1"/>
    <x v="1"/>
    <x v="0"/>
    <x v="1"/>
    <x v="0"/>
    <x v="0"/>
    <x v="8"/>
    <x v="13"/>
    <x v="5"/>
    <x v="0"/>
    <x v="29"/>
    <x v="12"/>
    <x v="22"/>
    <x v="27"/>
    <x v="27"/>
    <x v="2"/>
  </r>
  <r>
    <x v="38"/>
    <x v="2"/>
    <x v="2"/>
    <x v="2"/>
    <x v="1"/>
    <x v="2"/>
    <x v="0"/>
    <x v="2"/>
    <x v="0"/>
    <x v="0"/>
    <x v="0"/>
    <x v="0"/>
    <x v="14"/>
    <x v="1"/>
    <x v="0"/>
    <x v="5"/>
    <x v="6"/>
    <x v="0"/>
  </r>
  <r>
    <x v="39"/>
    <x v="2"/>
    <x v="3"/>
    <x v="3"/>
    <x v="1"/>
    <x v="0"/>
    <x v="0"/>
    <x v="2"/>
    <x v="8"/>
    <x v="17"/>
    <x v="7"/>
    <x v="2"/>
    <x v="3"/>
    <x v="1"/>
    <x v="23"/>
    <x v="28"/>
    <x v="28"/>
    <x v="2"/>
  </r>
  <r>
    <x v="40"/>
    <x v="2"/>
    <x v="4"/>
    <x v="4"/>
    <x v="2"/>
    <x v="3"/>
    <x v="0"/>
    <x v="0"/>
    <x v="11"/>
    <x v="12"/>
    <x v="0"/>
    <x v="1"/>
    <x v="16"/>
    <x v="1"/>
    <x v="0"/>
    <x v="5"/>
    <x v="6"/>
    <x v="0"/>
  </r>
  <r>
    <x v="41"/>
    <x v="3"/>
    <x v="5"/>
    <x v="5"/>
    <x v="2"/>
    <x v="1"/>
    <x v="0"/>
    <x v="0"/>
    <x v="6"/>
    <x v="14"/>
    <x v="0"/>
    <x v="1"/>
    <x v="30"/>
    <x v="1"/>
    <x v="0"/>
    <x v="29"/>
    <x v="29"/>
    <x v="0"/>
  </r>
  <r>
    <x v="42"/>
    <x v="3"/>
    <x v="7"/>
    <x v="7"/>
    <x v="3"/>
    <x v="0"/>
    <x v="1"/>
    <x v="0"/>
    <x v="12"/>
    <x v="2"/>
    <x v="5"/>
    <x v="2"/>
    <x v="31"/>
    <x v="13"/>
    <x v="24"/>
    <x v="30"/>
    <x v="30"/>
    <x v="1"/>
  </r>
  <r>
    <x v="43"/>
    <x v="3"/>
    <x v="8"/>
    <x v="8"/>
    <x v="4"/>
    <x v="3"/>
    <x v="1"/>
    <x v="0"/>
    <x v="9"/>
    <x v="3"/>
    <x v="0"/>
    <x v="2"/>
    <x v="22"/>
    <x v="9"/>
    <x v="0"/>
    <x v="31"/>
    <x v="10"/>
    <x v="0"/>
  </r>
  <r>
    <x v="44"/>
    <x v="3"/>
    <x v="9"/>
    <x v="9"/>
    <x v="4"/>
    <x v="2"/>
    <x v="1"/>
    <x v="2"/>
    <x v="5"/>
    <x v="0"/>
    <x v="5"/>
    <x v="0"/>
    <x v="32"/>
    <x v="1"/>
    <x v="25"/>
    <x v="32"/>
    <x v="31"/>
    <x v="0"/>
  </r>
  <r>
    <x v="45"/>
    <x v="3"/>
    <x v="18"/>
    <x v="18"/>
    <x v="5"/>
    <x v="1"/>
    <x v="2"/>
    <x v="0"/>
    <x v="8"/>
    <x v="0"/>
    <x v="0"/>
    <x v="2"/>
    <x v="22"/>
    <x v="9"/>
    <x v="0"/>
    <x v="5"/>
    <x v="6"/>
    <x v="0"/>
  </r>
  <r>
    <x v="46"/>
    <x v="3"/>
    <x v="10"/>
    <x v="10"/>
    <x v="5"/>
    <x v="0"/>
    <x v="0"/>
    <x v="2"/>
    <x v="0"/>
    <x v="0"/>
    <x v="0"/>
    <x v="2"/>
    <x v="9"/>
    <x v="1"/>
    <x v="0"/>
    <x v="5"/>
    <x v="6"/>
    <x v="0"/>
  </r>
  <r>
    <x v="47"/>
    <x v="3"/>
    <x v="11"/>
    <x v="11"/>
    <x v="0"/>
    <x v="3"/>
    <x v="1"/>
    <x v="0"/>
    <x v="4"/>
    <x v="16"/>
    <x v="8"/>
    <x v="2"/>
    <x v="33"/>
    <x v="1"/>
    <x v="26"/>
    <x v="33"/>
    <x v="32"/>
    <x v="2"/>
  </r>
  <r>
    <x v="48"/>
    <x v="3"/>
    <x v="13"/>
    <x v="13"/>
    <x v="2"/>
    <x v="2"/>
    <x v="0"/>
    <x v="0"/>
    <x v="5"/>
    <x v="6"/>
    <x v="0"/>
    <x v="1"/>
    <x v="21"/>
    <x v="14"/>
    <x v="0"/>
    <x v="34"/>
    <x v="29"/>
    <x v="0"/>
  </r>
  <r>
    <x v="49"/>
    <x v="3"/>
    <x v="14"/>
    <x v="14"/>
    <x v="3"/>
    <x v="3"/>
    <x v="2"/>
    <x v="0"/>
    <x v="0"/>
    <x v="17"/>
    <x v="6"/>
    <x v="1"/>
    <x v="34"/>
    <x v="15"/>
    <x v="27"/>
    <x v="35"/>
    <x v="30"/>
    <x v="1"/>
  </r>
  <r>
    <x v="50"/>
    <x v="3"/>
    <x v="15"/>
    <x v="15"/>
    <x v="4"/>
    <x v="0"/>
    <x v="0"/>
    <x v="0"/>
    <x v="3"/>
    <x v="14"/>
    <x v="0"/>
    <x v="0"/>
    <x v="12"/>
    <x v="1"/>
    <x v="0"/>
    <x v="13"/>
    <x v="14"/>
    <x v="0"/>
  </r>
  <r>
    <x v="51"/>
    <x v="3"/>
    <x v="16"/>
    <x v="16"/>
    <x v="5"/>
    <x v="2"/>
    <x v="0"/>
    <x v="0"/>
    <x v="3"/>
    <x v="10"/>
    <x v="7"/>
    <x v="0"/>
    <x v="4"/>
    <x v="1"/>
    <x v="28"/>
    <x v="36"/>
    <x v="33"/>
    <x v="1"/>
  </r>
  <r>
    <x v="52"/>
    <x v="3"/>
    <x v="19"/>
    <x v="19"/>
    <x v="0"/>
    <x v="1"/>
    <x v="1"/>
    <x v="0"/>
    <x v="5"/>
    <x v="8"/>
    <x v="6"/>
    <x v="1"/>
    <x v="20"/>
    <x v="9"/>
    <x v="29"/>
    <x v="37"/>
    <x v="34"/>
    <x v="0"/>
  </r>
  <r>
    <x v="53"/>
    <x v="3"/>
    <x v="17"/>
    <x v="17"/>
    <x v="1"/>
    <x v="3"/>
    <x v="1"/>
    <x v="1"/>
    <x v="4"/>
    <x v="13"/>
    <x v="6"/>
    <x v="2"/>
    <x v="35"/>
    <x v="14"/>
    <x v="30"/>
    <x v="38"/>
    <x v="35"/>
    <x v="0"/>
  </r>
  <r>
    <x v="54"/>
    <x v="4"/>
    <x v="0"/>
    <x v="0"/>
    <x v="0"/>
    <x v="0"/>
    <x v="0"/>
    <x v="1"/>
    <x v="8"/>
    <x v="13"/>
    <x v="5"/>
    <x v="1"/>
    <x v="8"/>
    <x v="1"/>
    <x v="31"/>
    <x v="7"/>
    <x v="36"/>
    <x v="1"/>
  </r>
  <r>
    <x v="55"/>
    <x v="4"/>
    <x v="1"/>
    <x v="1"/>
    <x v="0"/>
    <x v="1"/>
    <x v="2"/>
    <x v="0"/>
    <x v="8"/>
    <x v="2"/>
    <x v="0"/>
    <x v="0"/>
    <x v="18"/>
    <x v="1"/>
    <x v="0"/>
    <x v="39"/>
    <x v="37"/>
    <x v="0"/>
  </r>
  <r>
    <x v="56"/>
    <x v="4"/>
    <x v="3"/>
    <x v="3"/>
    <x v="1"/>
    <x v="0"/>
    <x v="2"/>
    <x v="0"/>
    <x v="9"/>
    <x v="10"/>
    <x v="5"/>
    <x v="1"/>
    <x v="28"/>
    <x v="1"/>
    <x v="32"/>
    <x v="40"/>
    <x v="38"/>
    <x v="0"/>
  </r>
  <r>
    <x v="57"/>
    <x v="4"/>
    <x v="4"/>
    <x v="4"/>
    <x v="2"/>
    <x v="3"/>
    <x v="2"/>
    <x v="0"/>
    <x v="2"/>
    <x v="13"/>
    <x v="7"/>
    <x v="2"/>
    <x v="27"/>
    <x v="11"/>
    <x v="33"/>
    <x v="41"/>
    <x v="39"/>
    <x v="2"/>
  </r>
  <r>
    <x v="58"/>
    <x v="4"/>
    <x v="5"/>
    <x v="5"/>
    <x v="2"/>
    <x v="1"/>
    <x v="1"/>
    <x v="0"/>
    <x v="7"/>
    <x v="6"/>
    <x v="0"/>
    <x v="2"/>
    <x v="36"/>
    <x v="16"/>
    <x v="0"/>
    <x v="5"/>
    <x v="6"/>
    <x v="0"/>
  </r>
  <r>
    <x v="59"/>
    <x v="4"/>
    <x v="6"/>
    <x v="6"/>
    <x v="3"/>
    <x v="2"/>
    <x v="0"/>
    <x v="0"/>
    <x v="0"/>
    <x v="18"/>
    <x v="4"/>
    <x v="0"/>
    <x v="14"/>
    <x v="1"/>
    <x v="34"/>
    <x v="42"/>
    <x v="40"/>
    <x v="2"/>
  </r>
  <r>
    <x v="60"/>
    <x v="4"/>
    <x v="7"/>
    <x v="7"/>
    <x v="3"/>
    <x v="0"/>
    <x v="2"/>
    <x v="0"/>
    <x v="4"/>
    <x v="0"/>
    <x v="0"/>
    <x v="0"/>
    <x v="19"/>
    <x v="14"/>
    <x v="0"/>
    <x v="5"/>
    <x v="6"/>
    <x v="0"/>
  </r>
  <r>
    <x v="61"/>
    <x v="4"/>
    <x v="8"/>
    <x v="8"/>
    <x v="4"/>
    <x v="3"/>
    <x v="2"/>
    <x v="2"/>
    <x v="3"/>
    <x v="10"/>
    <x v="7"/>
    <x v="0"/>
    <x v="37"/>
    <x v="9"/>
    <x v="31"/>
    <x v="43"/>
    <x v="41"/>
    <x v="1"/>
  </r>
  <r>
    <x v="62"/>
    <x v="4"/>
    <x v="18"/>
    <x v="18"/>
    <x v="5"/>
    <x v="1"/>
    <x v="0"/>
    <x v="1"/>
    <x v="1"/>
    <x v="12"/>
    <x v="0"/>
    <x v="1"/>
    <x v="20"/>
    <x v="9"/>
    <x v="0"/>
    <x v="8"/>
    <x v="10"/>
    <x v="0"/>
  </r>
  <r>
    <x v="63"/>
    <x v="4"/>
    <x v="10"/>
    <x v="10"/>
    <x v="5"/>
    <x v="0"/>
    <x v="0"/>
    <x v="0"/>
    <x v="6"/>
    <x v="3"/>
    <x v="6"/>
    <x v="2"/>
    <x v="6"/>
    <x v="3"/>
    <x v="35"/>
    <x v="5"/>
    <x v="42"/>
    <x v="0"/>
  </r>
  <r>
    <x v="64"/>
    <x v="4"/>
    <x v="11"/>
    <x v="11"/>
    <x v="0"/>
    <x v="3"/>
    <x v="2"/>
    <x v="2"/>
    <x v="5"/>
    <x v="7"/>
    <x v="0"/>
    <x v="0"/>
    <x v="34"/>
    <x v="1"/>
    <x v="0"/>
    <x v="5"/>
    <x v="6"/>
    <x v="0"/>
  </r>
  <r>
    <x v="65"/>
    <x v="4"/>
    <x v="12"/>
    <x v="12"/>
    <x v="1"/>
    <x v="1"/>
    <x v="0"/>
    <x v="0"/>
    <x v="2"/>
    <x v="8"/>
    <x v="0"/>
    <x v="2"/>
    <x v="6"/>
    <x v="3"/>
    <x v="0"/>
    <x v="5"/>
    <x v="6"/>
    <x v="0"/>
  </r>
  <r>
    <x v="66"/>
    <x v="4"/>
    <x v="13"/>
    <x v="13"/>
    <x v="2"/>
    <x v="2"/>
    <x v="1"/>
    <x v="2"/>
    <x v="6"/>
    <x v="3"/>
    <x v="6"/>
    <x v="0"/>
    <x v="38"/>
    <x v="1"/>
    <x v="36"/>
    <x v="24"/>
    <x v="43"/>
    <x v="0"/>
  </r>
  <r>
    <x v="67"/>
    <x v="4"/>
    <x v="14"/>
    <x v="14"/>
    <x v="3"/>
    <x v="3"/>
    <x v="2"/>
    <x v="0"/>
    <x v="12"/>
    <x v="9"/>
    <x v="0"/>
    <x v="2"/>
    <x v="27"/>
    <x v="11"/>
    <x v="0"/>
    <x v="44"/>
    <x v="44"/>
    <x v="0"/>
  </r>
  <r>
    <x v="68"/>
    <x v="5"/>
    <x v="15"/>
    <x v="15"/>
    <x v="4"/>
    <x v="0"/>
    <x v="2"/>
    <x v="0"/>
    <x v="11"/>
    <x v="3"/>
    <x v="5"/>
    <x v="2"/>
    <x v="19"/>
    <x v="8"/>
    <x v="37"/>
    <x v="45"/>
    <x v="16"/>
    <x v="0"/>
  </r>
  <r>
    <x v="69"/>
    <x v="5"/>
    <x v="19"/>
    <x v="19"/>
    <x v="0"/>
    <x v="1"/>
    <x v="2"/>
    <x v="0"/>
    <x v="10"/>
    <x v="14"/>
    <x v="5"/>
    <x v="2"/>
    <x v="19"/>
    <x v="8"/>
    <x v="38"/>
    <x v="46"/>
    <x v="45"/>
    <x v="1"/>
  </r>
  <r>
    <x v="70"/>
    <x v="5"/>
    <x v="17"/>
    <x v="17"/>
    <x v="1"/>
    <x v="3"/>
    <x v="1"/>
    <x v="0"/>
    <x v="0"/>
    <x v="16"/>
    <x v="5"/>
    <x v="0"/>
    <x v="26"/>
    <x v="1"/>
    <x v="39"/>
    <x v="47"/>
    <x v="46"/>
    <x v="1"/>
  </r>
  <r>
    <x v="71"/>
    <x v="5"/>
    <x v="0"/>
    <x v="0"/>
    <x v="0"/>
    <x v="0"/>
    <x v="2"/>
    <x v="0"/>
    <x v="11"/>
    <x v="4"/>
    <x v="4"/>
    <x v="1"/>
    <x v="1"/>
    <x v="1"/>
    <x v="0"/>
    <x v="48"/>
    <x v="47"/>
    <x v="0"/>
  </r>
  <r>
    <x v="72"/>
    <x v="5"/>
    <x v="1"/>
    <x v="1"/>
    <x v="0"/>
    <x v="1"/>
    <x v="2"/>
    <x v="0"/>
    <x v="8"/>
    <x v="2"/>
    <x v="0"/>
    <x v="2"/>
    <x v="22"/>
    <x v="9"/>
    <x v="0"/>
    <x v="5"/>
    <x v="6"/>
    <x v="0"/>
  </r>
  <r>
    <x v="73"/>
    <x v="5"/>
    <x v="2"/>
    <x v="2"/>
    <x v="1"/>
    <x v="2"/>
    <x v="1"/>
    <x v="0"/>
    <x v="2"/>
    <x v="5"/>
    <x v="5"/>
    <x v="2"/>
    <x v="39"/>
    <x v="7"/>
    <x v="40"/>
    <x v="49"/>
    <x v="48"/>
    <x v="1"/>
  </r>
  <r>
    <x v="74"/>
    <x v="5"/>
    <x v="3"/>
    <x v="3"/>
    <x v="1"/>
    <x v="0"/>
    <x v="1"/>
    <x v="0"/>
    <x v="9"/>
    <x v="10"/>
    <x v="5"/>
    <x v="0"/>
    <x v="20"/>
    <x v="1"/>
    <x v="41"/>
    <x v="50"/>
    <x v="49"/>
    <x v="0"/>
  </r>
  <r>
    <x v="75"/>
    <x v="5"/>
    <x v="5"/>
    <x v="5"/>
    <x v="2"/>
    <x v="1"/>
    <x v="2"/>
    <x v="2"/>
    <x v="9"/>
    <x v="10"/>
    <x v="5"/>
    <x v="2"/>
    <x v="37"/>
    <x v="1"/>
    <x v="42"/>
    <x v="51"/>
    <x v="50"/>
    <x v="0"/>
  </r>
  <r>
    <x v="76"/>
    <x v="5"/>
    <x v="6"/>
    <x v="6"/>
    <x v="3"/>
    <x v="2"/>
    <x v="1"/>
    <x v="1"/>
    <x v="5"/>
    <x v="6"/>
    <x v="0"/>
    <x v="2"/>
    <x v="40"/>
    <x v="15"/>
    <x v="0"/>
    <x v="3"/>
    <x v="23"/>
    <x v="0"/>
  </r>
  <r>
    <x v="77"/>
    <x v="5"/>
    <x v="7"/>
    <x v="7"/>
    <x v="3"/>
    <x v="0"/>
    <x v="2"/>
    <x v="0"/>
    <x v="1"/>
    <x v="14"/>
    <x v="6"/>
    <x v="1"/>
    <x v="20"/>
    <x v="9"/>
    <x v="43"/>
    <x v="30"/>
    <x v="51"/>
    <x v="1"/>
  </r>
  <r>
    <x v="78"/>
    <x v="5"/>
    <x v="8"/>
    <x v="8"/>
    <x v="4"/>
    <x v="3"/>
    <x v="0"/>
    <x v="0"/>
    <x v="8"/>
    <x v="13"/>
    <x v="5"/>
    <x v="1"/>
    <x v="13"/>
    <x v="1"/>
    <x v="44"/>
    <x v="52"/>
    <x v="52"/>
    <x v="2"/>
  </r>
  <r>
    <x v="79"/>
    <x v="5"/>
    <x v="9"/>
    <x v="9"/>
    <x v="4"/>
    <x v="2"/>
    <x v="1"/>
    <x v="0"/>
    <x v="12"/>
    <x v="7"/>
    <x v="0"/>
    <x v="0"/>
    <x v="9"/>
    <x v="5"/>
    <x v="0"/>
    <x v="39"/>
    <x v="37"/>
    <x v="0"/>
  </r>
  <r>
    <x v="80"/>
    <x v="5"/>
    <x v="18"/>
    <x v="18"/>
    <x v="5"/>
    <x v="1"/>
    <x v="1"/>
    <x v="0"/>
    <x v="12"/>
    <x v="9"/>
    <x v="0"/>
    <x v="2"/>
    <x v="19"/>
    <x v="8"/>
    <x v="0"/>
    <x v="53"/>
    <x v="53"/>
    <x v="0"/>
  </r>
  <r>
    <x v="81"/>
    <x v="6"/>
    <x v="10"/>
    <x v="10"/>
    <x v="5"/>
    <x v="0"/>
    <x v="0"/>
    <x v="0"/>
    <x v="9"/>
    <x v="2"/>
    <x v="7"/>
    <x v="0"/>
    <x v="19"/>
    <x v="14"/>
    <x v="39"/>
    <x v="54"/>
    <x v="54"/>
    <x v="1"/>
  </r>
  <r>
    <x v="82"/>
    <x v="6"/>
    <x v="12"/>
    <x v="12"/>
    <x v="1"/>
    <x v="1"/>
    <x v="2"/>
    <x v="0"/>
    <x v="5"/>
    <x v="2"/>
    <x v="0"/>
    <x v="0"/>
    <x v="41"/>
    <x v="1"/>
    <x v="42"/>
    <x v="55"/>
    <x v="55"/>
    <x v="0"/>
  </r>
  <r>
    <x v="83"/>
    <x v="6"/>
    <x v="13"/>
    <x v="13"/>
    <x v="2"/>
    <x v="2"/>
    <x v="0"/>
    <x v="0"/>
    <x v="1"/>
    <x v="9"/>
    <x v="5"/>
    <x v="0"/>
    <x v="41"/>
    <x v="1"/>
    <x v="45"/>
    <x v="5"/>
    <x v="56"/>
    <x v="0"/>
  </r>
  <r>
    <x v="84"/>
    <x v="6"/>
    <x v="14"/>
    <x v="14"/>
    <x v="3"/>
    <x v="3"/>
    <x v="0"/>
    <x v="0"/>
    <x v="12"/>
    <x v="6"/>
    <x v="2"/>
    <x v="2"/>
    <x v="20"/>
    <x v="1"/>
    <x v="0"/>
    <x v="40"/>
    <x v="5"/>
    <x v="0"/>
  </r>
  <r>
    <x v="85"/>
    <x v="6"/>
    <x v="15"/>
    <x v="15"/>
    <x v="4"/>
    <x v="0"/>
    <x v="2"/>
    <x v="0"/>
    <x v="9"/>
    <x v="10"/>
    <x v="5"/>
    <x v="1"/>
    <x v="15"/>
    <x v="6"/>
    <x v="46"/>
    <x v="16"/>
    <x v="57"/>
    <x v="1"/>
  </r>
  <r>
    <x v="86"/>
    <x v="6"/>
    <x v="16"/>
    <x v="16"/>
    <x v="5"/>
    <x v="2"/>
    <x v="2"/>
    <x v="0"/>
    <x v="7"/>
    <x v="3"/>
    <x v="0"/>
    <x v="0"/>
    <x v="33"/>
    <x v="6"/>
    <x v="0"/>
    <x v="5"/>
    <x v="6"/>
    <x v="0"/>
  </r>
  <r>
    <x v="87"/>
    <x v="6"/>
    <x v="19"/>
    <x v="19"/>
    <x v="0"/>
    <x v="1"/>
    <x v="2"/>
    <x v="0"/>
    <x v="4"/>
    <x v="5"/>
    <x v="0"/>
    <x v="1"/>
    <x v="42"/>
    <x v="1"/>
    <x v="0"/>
    <x v="4"/>
    <x v="58"/>
    <x v="0"/>
  </r>
  <r>
    <x v="88"/>
    <x v="6"/>
    <x v="17"/>
    <x v="17"/>
    <x v="1"/>
    <x v="3"/>
    <x v="2"/>
    <x v="0"/>
    <x v="11"/>
    <x v="6"/>
    <x v="7"/>
    <x v="2"/>
    <x v="3"/>
    <x v="1"/>
    <x v="47"/>
    <x v="56"/>
    <x v="5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:E9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axis="axisRow"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dataField="1"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hievement %" fld="16" subtotal="average" baseField="0" baseItem="0"/>
  </dataFields>
  <formats count="1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2:H9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axis="axisRow"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dataField="1"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ductivity %" fld="14" subtotal="average" baseField="0" baseItem="0"/>
  </dataFields>
  <formats count="15"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2:K7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axis="axisRow"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dataField="1"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lity Score %" fld="15" subtotal="average" baseField="0" baseItem="0"/>
  </dataFields>
  <formats count="15"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2:N8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axis="axisRow" measureFilter="1"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dataField="1"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3"/>
  </rowFields>
  <rowItems count="6">
    <i>
      <x v="7"/>
    </i>
    <i>
      <x v="11"/>
    </i>
    <i>
      <x v="12"/>
    </i>
    <i>
      <x v="13"/>
    </i>
    <i>
      <x v="18"/>
    </i>
    <i t="grand">
      <x/>
    </i>
  </rowItems>
  <colItems count="1">
    <i/>
  </colItems>
  <dataFields count="1">
    <dataField name="Average of Achievement %" fld="16" subtotal="average" baseField="0" baseItem="0"/>
  </dataFields>
  <formats count="15"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  <format dxfId="55">
      <pivotArea collapsedLevelsAreSubtotals="1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collapsedLevelsAreSubtotals="1" fieldPosition="0"/>
    </format>
  </formats>
  <pivotTableStyleInfo name="PivotStyleLight16" showRowHeaders="1" showColHeaders="1" showLastColumn="1"/>
  <filters count="1">
    <filter evalOrder="-1" fld="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2:E20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dataField="1"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ductivity %" fld="14" subtotal="average" baseField="0" baseItem="0"/>
  </dataFields>
  <formats count="15"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2:I20" firstHeaderRow="0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dataField="1"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dataField="1"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pleted Tasks" fld="9" baseField="0" baseItem="0"/>
    <dataField name="Sum of Pending Tasks" fld="10" baseField="0" baseItem="0"/>
  </dataFields>
  <formats count="61"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  <format dxfId="88">
      <pivotArea collapsedLevelsAreSubtotals="1" fieldPosition="0"/>
    </format>
    <format dxfId="89">
      <pivotArea collapsedLevelsAreSubtotals="1" fieldPosition="0"/>
    </format>
    <format dxfId="90">
      <pivotArea type="all" dataOnly="0" outline="0" fieldPosition="0"/>
    </format>
    <format dxfId="91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92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93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94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0"/>
          </reference>
        </references>
      </pivotArea>
    </format>
    <format dxfId="95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0"/>
          </reference>
        </references>
      </pivotArea>
    </format>
    <format dxfId="96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0"/>
          </reference>
        </references>
      </pivotArea>
    </format>
    <format dxfId="97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0"/>
          </reference>
        </references>
      </pivotArea>
    </format>
    <format dxfId="98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99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0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01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0"/>
          </reference>
        </references>
      </pivotArea>
    </format>
    <format dxfId="102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0"/>
          </reference>
        </references>
      </pivotArea>
    </format>
    <format dxfId="103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0"/>
          </reference>
        </references>
      </pivotArea>
    </format>
    <format dxfId="104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0"/>
          </reference>
        </references>
      </pivotArea>
    </format>
    <format dxfId="105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106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07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08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0"/>
          </reference>
        </references>
      </pivotArea>
    </format>
    <format dxfId="109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0"/>
          </reference>
        </references>
      </pivotArea>
    </format>
    <format dxfId="110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0"/>
          </reference>
        </references>
      </pivotArea>
    </format>
    <format dxfId="111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0"/>
          </reference>
        </references>
      </pivotArea>
    </format>
    <format dxfId="112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1"/>
          </reference>
        </references>
      </pivotArea>
    </format>
    <format dxfId="113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1"/>
          </reference>
        </references>
      </pivotArea>
    </format>
    <format dxfId="114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115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1"/>
          </reference>
        </references>
      </pivotArea>
    </format>
    <format dxfId="116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1"/>
          </reference>
        </references>
      </pivotArea>
    </format>
    <format dxfId="117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1"/>
          </reference>
        </references>
      </pivotArea>
    </format>
    <format dxfId="118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1"/>
          </reference>
        </references>
      </pivotArea>
    </format>
    <format dxfId="119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1"/>
          </reference>
        </references>
      </pivotArea>
    </format>
    <format dxfId="120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1"/>
          </reference>
        </references>
      </pivotArea>
    </format>
    <format dxfId="121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122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1"/>
          </reference>
        </references>
      </pivotArea>
    </format>
    <format dxfId="123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1"/>
          </reference>
        </references>
      </pivotArea>
    </format>
    <format dxfId="124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1"/>
          </reference>
        </references>
      </pivotArea>
    </format>
    <format dxfId="125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1"/>
          </reference>
        </references>
      </pivotArea>
    </format>
    <format dxfId="126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1"/>
          </reference>
        </references>
      </pivotArea>
    </format>
    <format dxfId="127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1"/>
          </reference>
        </references>
      </pivotArea>
    </format>
    <format dxfId="128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129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1"/>
          </reference>
        </references>
      </pivotArea>
    </format>
    <format dxfId="130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1"/>
          </reference>
        </references>
      </pivotArea>
    </format>
    <format dxfId="131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1"/>
          </reference>
        </references>
      </pivotArea>
    </format>
    <format dxfId="132">
      <pivotArea collapsedLevelsAreSubtotals="1" fieldPosition="0">
        <references count="2">
          <reference field="1" count="1" selected="0">
            <x v="6"/>
          </reference>
          <reference field="4294967294" count="1" selected="0">
            <x v="1"/>
          </reference>
        </references>
      </pivotArea>
    </format>
    <format dxfId="133">
      <pivotArea grandRow="1" collapsedLevelsAreSubtotals="1" fieldPosition="0"/>
    </format>
    <format dxfId="134">
      <pivotArea grandRow="1" collapsedLevelsAreSubtotals="1" fieldPosition="0"/>
    </format>
    <format dxfId="135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12:L16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 ID" fld="2" subtotal="count" baseField="0" baseItem="0"/>
  </dataFields>
  <formats count="19">
    <format dxfId="136">
      <pivotArea collapsedLevelsAreSubtotals="1" fieldPosition="0"/>
    </format>
    <format dxfId="137">
      <pivotArea collapsedLevelsAreSubtotals="1" fieldPosition="0"/>
    </format>
    <format dxfId="138">
      <pivotArea collapsedLevelsAreSubtotals="1" fieldPosition="0"/>
    </format>
    <format dxfId="139">
      <pivotArea collapsedLevelsAreSubtotals="1" fieldPosition="0"/>
    </format>
    <format dxfId="140">
      <pivotArea collapsedLevelsAreSubtotals="1" fieldPosition="0"/>
    </format>
    <format dxfId="141">
      <pivotArea collapsedLevelsAreSubtotals="1" fieldPosition="0"/>
    </format>
    <format dxfId="142">
      <pivotArea collapsedLevelsAreSubtotals="1" fieldPosition="0"/>
    </format>
    <format dxfId="143">
      <pivotArea collapsedLevelsAreSubtotals="1" fieldPosition="0"/>
    </format>
    <format dxfId="144">
      <pivotArea collapsedLevelsAreSubtotals="1" fieldPosition="0"/>
    </format>
    <format dxfId="145">
      <pivotArea collapsedLevelsAreSubtotals="1" fieldPosition="0"/>
    </format>
    <format dxfId="146">
      <pivotArea collapsedLevelsAreSubtotals="1" fieldPosition="0"/>
    </format>
    <format dxfId="147">
      <pivotArea collapsedLevelsAreSubtotals="1" fieldPosition="0"/>
    </format>
    <format dxfId="148">
      <pivotArea collapsedLevelsAreSubtotals="1" fieldPosition="0"/>
    </format>
    <format dxfId="149">
      <pivotArea collapsedLevelsAreSubtotals="1" fieldPosition="0"/>
    </format>
    <format dxfId="150">
      <pivotArea collapsedLevelsAreSubtotals="1" fieldPosition="0"/>
    </format>
    <format dxfId="151">
      <pivotArea collapsedLevelsAreSubtotals="1" fieldPosition="0"/>
    </format>
    <format dxfId="152">
      <pivotArea collapsedLevelsAreSubtotals="1" fieldPosition="0"/>
    </format>
    <format dxfId="153">
      <pivotArea collapsedLevelsAreSubtotals="1" fieldPosition="0"/>
    </format>
    <format dxfId="15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12:O16" firstHeaderRow="1" firstDataRow="1" firstDataCol="1"/>
  <pivotFields count="18">
    <pivotField compact="0" numFmtId="18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8"/>
        <item x="10"/>
        <item x="11"/>
        <item x="12"/>
        <item x="13"/>
        <item x="14"/>
        <item x="15"/>
        <item x="16"/>
        <item x="19"/>
        <item x="17"/>
        <item t="default"/>
      </items>
    </pivotField>
    <pivotField compact="0" showAll="0">
      <items count="21">
        <item x="12"/>
        <item x="15"/>
        <item x="14"/>
        <item x="11"/>
        <item x="18"/>
        <item x="6"/>
        <item x="9"/>
        <item x="0"/>
        <item x="3"/>
        <item x="10"/>
        <item x="8"/>
        <item x="19"/>
        <item x="5"/>
        <item x="1"/>
        <item x="13"/>
        <item x="4"/>
        <item x="16"/>
        <item x="2"/>
        <item x="7"/>
        <item x="17"/>
        <item t="default"/>
      </items>
    </pivotField>
    <pivotField compact="0" showAll="0">
      <items count="7">
        <item x="2"/>
        <item x="3"/>
        <item x="5"/>
        <item x="1"/>
        <item x="4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">
        <item x="0"/>
        <item x="4"/>
        <item x="8"/>
        <item x="2"/>
        <item x="5"/>
        <item x="7"/>
        <item x="12"/>
        <item x="9"/>
        <item x="3"/>
        <item x="6"/>
        <item x="11"/>
        <item x="1"/>
        <item x="10"/>
        <item t="default"/>
      </items>
    </pivotField>
    <pivotField compact="0" showAll="0">
      <items count="20">
        <item x="18"/>
        <item x="16"/>
        <item x="17"/>
        <item x="13"/>
        <item x="5"/>
        <item x="0"/>
        <item x="8"/>
        <item x="2"/>
        <item x="10"/>
        <item x="7"/>
        <item x="6"/>
        <item x="3"/>
        <item x="9"/>
        <item x="14"/>
        <item x="4"/>
        <item x="1"/>
        <item x="12"/>
        <item x="11"/>
        <item x="15"/>
        <item t="default"/>
      </items>
    </pivotField>
    <pivotField compact="0" showAll="0">
      <items count="10">
        <item x="0"/>
        <item x="6"/>
        <item x="5"/>
        <item x="7"/>
        <item x="1"/>
        <item x="2"/>
        <item x="3"/>
        <item x="4"/>
        <item x="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4">
        <item x="38"/>
        <item x="16"/>
        <item x="28"/>
        <item x="26"/>
        <item x="11"/>
        <item x="32"/>
        <item x="30"/>
        <item x="23"/>
        <item x="13"/>
        <item x="8"/>
        <item x="5"/>
        <item x="1"/>
        <item x="42"/>
        <item x="12"/>
        <item x="15"/>
        <item x="20"/>
        <item x="41"/>
        <item x="4"/>
        <item x="18"/>
        <item x="14"/>
        <item x="34"/>
        <item x="21"/>
        <item x="29"/>
        <item x="33"/>
        <item x="37"/>
        <item x="0"/>
        <item x="9"/>
        <item x="3"/>
        <item x="25"/>
        <item x="19"/>
        <item x="10"/>
        <item x="22"/>
        <item x="17"/>
        <item x="2"/>
        <item x="7"/>
        <item x="27"/>
        <item x="40"/>
        <item x="35"/>
        <item x="31"/>
        <item x="36"/>
        <item x="39"/>
        <item x="6"/>
        <item x="24"/>
        <item t="default"/>
      </items>
    </pivotField>
    <pivotField compact="0" showAll="0">
      <items count="18">
        <item x="1"/>
        <item x="8"/>
        <item x="12"/>
        <item x="6"/>
        <item x="9"/>
        <item x="0"/>
        <item x="5"/>
        <item x="2"/>
        <item x="4"/>
        <item x="11"/>
        <item x="15"/>
        <item x="14"/>
        <item x="13"/>
        <item x="16"/>
        <item x="7"/>
        <item x="3"/>
        <item x="10"/>
        <item t="default"/>
      </items>
    </pivotField>
    <pivotField compact="0" numFmtId="10" showAll="0">
      <items count="49">
        <item x="34"/>
        <item x="23"/>
        <item x="21"/>
        <item x="26"/>
        <item x="33"/>
        <item x="16"/>
        <item x="17"/>
        <item x="22"/>
        <item x="47"/>
        <item x="15"/>
        <item x="39"/>
        <item x="44"/>
        <item x="14"/>
        <item x="40"/>
        <item x="28"/>
        <item x="46"/>
        <item x="7"/>
        <item x="12"/>
        <item x="20"/>
        <item x="10"/>
        <item x="8"/>
        <item x="18"/>
        <item x="5"/>
        <item x="38"/>
        <item x="31"/>
        <item x="24"/>
        <item x="37"/>
        <item x="41"/>
        <item x="25"/>
        <item x="27"/>
        <item x="13"/>
        <item x="19"/>
        <item x="43"/>
        <item x="32"/>
        <item x="42"/>
        <item x="4"/>
        <item x="11"/>
        <item x="36"/>
        <item x="30"/>
        <item x="45"/>
        <item x="2"/>
        <item x="3"/>
        <item x="29"/>
        <item x="9"/>
        <item x="1"/>
        <item x="6"/>
        <item x="35"/>
        <item x="0"/>
        <item t="default"/>
      </items>
    </pivotField>
    <pivotField compact="0" numFmtId="10" showAll="0">
      <items count="58">
        <item x="28"/>
        <item x="33"/>
        <item x="41"/>
        <item x="26"/>
        <item x="56"/>
        <item x="27"/>
        <item x="20"/>
        <item x="42"/>
        <item x="52"/>
        <item x="22"/>
        <item x="49"/>
        <item x="54"/>
        <item x="36"/>
        <item x="21"/>
        <item x="12"/>
        <item x="16"/>
        <item x="43"/>
        <item x="19"/>
        <item x="47"/>
        <item x="24"/>
        <item x="35"/>
        <item x="30"/>
        <item x="10"/>
        <item x="15"/>
        <item x="55"/>
        <item x="53"/>
        <item x="1"/>
        <item x="23"/>
        <item x="4"/>
        <item x="8"/>
        <item x="31"/>
        <item x="40"/>
        <item x="51"/>
        <item x="13"/>
        <item x="37"/>
        <item x="0"/>
        <item x="11"/>
        <item x="17"/>
        <item x="6"/>
        <item x="38"/>
        <item x="9"/>
        <item x="25"/>
        <item x="2"/>
        <item x="46"/>
        <item x="18"/>
        <item x="3"/>
        <item x="7"/>
        <item x="44"/>
        <item x="45"/>
        <item x="48"/>
        <item x="32"/>
        <item x="39"/>
        <item x="29"/>
        <item x="34"/>
        <item x="14"/>
        <item x="50"/>
        <item x="5"/>
        <item t="default"/>
      </items>
    </pivotField>
    <pivotField compact="0" numFmtId="10" showAll="0">
      <items count="61">
        <item x="28"/>
        <item x="40"/>
        <item x="32"/>
        <item x="26"/>
        <item x="39"/>
        <item x="27"/>
        <item x="59"/>
        <item x="21"/>
        <item x="24"/>
        <item x="22"/>
        <item x="52"/>
        <item x="54"/>
        <item x="48"/>
        <item x="46"/>
        <item x="33"/>
        <item x="20"/>
        <item x="57"/>
        <item x="17"/>
        <item x="13"/>
        <item x="41"/>
        <item x="12"/>
        <item x="30"/>
        <item x="11"/>
        <item x="25"/>
        <item x="7"/>
        <item x="51"/>
        <item x="45"/>
        <item x="36"/>
        <item x="43"/>
        <item x="55"/>
        <item x="38"/>
        <item x="19"/>
        <item x="16"/>
        <item x="50"/>
        <item x="31"/>
        <item x="49"/>
        <item x="4"/>
        <item x="35"/>
        <item x="34"/>
        <item x="53"/>
        <item x="1"/>
        <item x="58"/>
        <item x="10"/>
        <item x="5"/>
        <item x="14"/>
        <item x="0"/>
        <item x="18"/>
        <item x="3"/>
        <item x="2"/>
        <item x="23"/>
        <item x="9"/>
        <item x="56"/>
        <item x="44"/>
        <item x="47"/>
        <item x="37"/>
        <item x="29"/>
        <item x="15"/>
        <item x="8"/>
        <item x="42"/>
        <item x="6"/>
        <item t="default"/>
      </items>
    </pivotField>
    <pivotField axis="axisRow" compact="0" showAll="0">
      <items count="4">
        <item x="0"/>
        <item x="2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 ID" fld="2" subtotal="count" baseField="0" baseItem="0"/>
  </dataFields>
  <formats count="19">
    <format dxfId="155">
      <pivotArea collapsedLevelsAreSubtotals="1" fieldPosition="0"/>
    </format>
    <format dxfId="156">
      <pivotArea collapsedLevelsAreSubtotals="1" fieldPosition="0"/>
    </format>
    <format dxfId="157">
      <pivotArea collapsedLevelsAreSubtotals="1" fieldPosition="0"/>
    </format>
    <format dxfId="158">
      <pivotArea collapsedLevelsAreSubtotals="1" fieldPosition="0"/>
    </format>
    <format dxfId="159">
      <pivotArea collapsedLevelsAreSubtotals="1" fieldPosition="0"/>
    </format>
    <format dxfId="160">
      <pivotArea collapsedLevelsAreSubtotals="1" fieldPosition="0"/>
    </format>
    <format dxfId="161">
      <pivotArea collapsedLevelsAreSubtotals="1" fieldPosition="0"/>
    </format>
    <format dxfId="162">
      <pivotArea collapsedLevelsAreSubtotals="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collapsedLevelsAreSubtotals="1" fieldPosition="0"/>
    </format>
    <format dxfId="166">
      <pivotArea collapsedLevelsAreSubtotals="1" fieldPosition="0"/>
    </format>
    <format dxfId="167">
      <pivotArea collapsedLevelsAreSubtotals="1" fieldPosition="0"/>
    </format>
    <format dxfId="168">
      <pivotArea collapsedLevelsAreSubtotals="1" fieldPosition="0"/>
    </format>
    <format dxfId="169">
      <pivotArea collapsedLevelsAreSubtotals="1" fieldPosition="0"/>
    </format>
    <format dxfId="170">
      <pivotArea collapsedLevelsAreSubtotals="1" fieldPosition="0"/>
    </format>
    <format dxfId="171">
      <pivotArea collapsedLevelsAreSubtotals="1" fieldPosition="0"/>
    </format>
    <format dxfId="172">
      <pivotArea collapsedLevelsAreSubtotals="1" fieldPosition="0"/>
    </format>
    <format dxfId="17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7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</pivotTables>
  <data>
    <tabular pivotCacheId="1">
      <items count="6">
        <i x="2" s="1"/>
        <i x="3" s="1"/>
        <i x="5" s="1"/>
        <i x="1" s="1"/>
        <i x="4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7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Status" sourceName="Performance Status">
  <pivotTables>
    <pivotTable tabId="2" name="PivotTable7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erformance Status" cache="Slicer_Performance_Status" caption="Performance Status" rowHeight="225425"/>
  <slicer name="Department" cache="Slicer_Department" caption="Department" rowHeight="225425"/>
  <slicer name="Region" cache="Slicer_Region" caption="Region" rowHeight="225425"/>
</slicers>
</file>

<file path=xl/tables/table1.xml><?xml version="1.0" encoding="utf-8"?>
<table xmlns="http://schemas.openxmlformats.org/spreadsheetml/2006/main" id="1" name="Table1" displayName="Table1" ref="A1:R90" totalsRowShown="0">
  <autoFilter xmlns:etc="http://www.wps.cn/officeDocument/2017/etCustomData" ref="A1:R90" etc:filterBottomFollowUsedRange="0"/>
  <tableColumns count="18">
    <tableColumn id="1" name="Date" dataDxfId="174"/>
    <tableColumn id="2" name="Month" dataDxfId="175"/>
    <tableColumn id="3" name="Emp ID" dataDxfId="176"/>
    <tableColumn id="4" name="Employee Name" dataDxfId="177"/>
    <tableColumn id="5" name="Department" dataDxfId="178"/>
    <tableColumn id="6" name="Region" dataDxfId="179"/>
    <tableColumn id="7" name="Working Days" dataDxfId="180"/>
    <tableColumn id="8" name="Attendance Status" dataDxfId="181"/>
    <tableColumn id="9" name="Target Tasks" dataDxfId="182"/>
    <tableColumn id="10" name="Completed Tasks" dataDxfId="183"/>
    <tableColumn id="11" name="Pending Tasks" dataDxfId="184"/>
    <tableColumn id="12" name="Target Hours" dataDxfId="185"/>
    <tableColumn id="13" name="Actual Hours" dataDxfId="186"/>
    <tableColumn id="14" name="Overtime Hours" dataDxfId="187"/>
    <tableColumn id="15" name="Productivity %" dataDxfId="188"/>
    <tableColumn id="16" name="Quality Score %" dataDxfId="189"/>
    <tableColumn id="17" name="Achievement %" dataDxfId="190"/>
    <tableColumn id="18" name="Performance Status" dataDxfId="19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X24:Y29"/>
  <sheetViews>
    <sheetView showGridLines="0" tabSelected="1" zoomScale="90" zoomScaleNormal="90" workbookViewId="0">
      <selection activeCell="W20" sqref="W20"/>
    </sheetView>
  </sheetViews>
  <sheetFormatPr defaultColWidth="8.89166666666667" defaultRowHeight="13.8"/>
  <cols>
    <col min="25" max="25" width="12.8"/>
  </cols>
  <sheetData>
    <row r="24" spans="24:25">
      <c r="X24">
        <f>A1</f>
        <v>0</v>
      </c>
      <c r="Y24">
        <f>'pivot table'!B4</f>
        <v>89</v>
      </c>
    </row>
    <row r="25" spans="24:25">
      <c r="Y25" s="17">
        <f>'pivot table'!B5</f>
        <v>0.918584269662921</v>
      </c>
    </row>
    <row r="26" spans="24:25">
      <c r="Y26" s="17">
        <f>'pivot table'!B6</f>
        <v>0.906247191011236</v>
      </c>
    </row>
    <row r="27" spans="24:25">
      <c r="Y27">
        <f>'pivot table'!B7</f>
        <v>1177</v>
      </c>
    </row>
    <row r="29" spans="24:25">
      <c r="Y29" s="17">
        <v>0.90069230769231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90"/>
  <sheetViews>
    <sheetView topLeftCell="F1" workbookViewId="0">
      <selection activeCell="H34" sqref="H34:H35"/>
    </sheetView>
  </sheetViews>
  <sheetFormatPr defaultColWidth="9" defaultRowHeight="13.8"/>
  <cols>
    <col min="1" max="1" width="9.89166666666667" customWidth="1"/>
    <col min="2" max="2" width="8.66666666666667" customWidth="1"/>
    <col min="3" max="3" width="8.89166666666667" customWidth="1"/>
    <col min="4" max="4" width="16.6666666666667" customWidth="1"/>
    <col min="5" max="5" width="13" customWidth="1"/>
    <col min="7" max="7" width="14.4416666666667" customWidth="1"/>
    <col min="8" max="8" width="18.3333333333333" customWidth="1"/>
    <col min="9" max="9" width="13.225" customWidth="1"/>
    <col min="10" max="10" width="17.1083333333333" customWidth="1"/>
    <col min="11" max="11" width="14.775" customWidth="1"/>
    <col min="12" max="13" width="13.5583333333333" customWidth="1"/>
    <col min="14" max="14" width="16" customWidth="1"/>
    <col min="15" max="15" width="15" customWidth="1"/>
    <col min="16" max="17" width="15.8916666666667" customWidth="1"/>
    <col min="18" max="18" width="19.4416666666667" customWidth="1"/>
  </cols>
  <sheetData>
    <row r="1" ht="14.4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ht="14.4" spans="1:18">
      <c r="A2" s="11">
        <v>46023</v>
      </c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>
        <v>22</v>
      </c>
      <c r="H2" s="12" t="s">
        <v>23</v>
      </c>
      <c r="I2" s="12">
        <v>8</v>
      </c>
      <c r="J2" s="12">
        <v>10</v>
      </c>
      <c r="K2" s="12">
        <v>0</v>
      </c>
      <c r="L2" s="12">
        <v>8</v>
      </c>
      <c r="M2" s="12">
        <v>8.5</v>
      </c>
      <c r="N2" s="12">
        <v>0.5</v>
      </c>
      <c r="O2" s="13">
        <v>1</v>
      </c>
      <c r="P2" s="13">
        <v>0.911</v>
      </c>
      <c r="Q2" s="13">
        <v>0.964</v>
      </c>
      <c r="R2" s="12" t="s">
        <v>24</v>
      </c>
    </row>
    <row r="3" ht="14.4" spans="1:18">
      <c r="A3" s="11">
        <v>46025</v>
      </c>
      <c r="B3" s="12" t="s">
        <v>18</v>
      </c>
      <c r="C3" s="12" t="s">
        <v>25</v>
      </c>
      <c r="D3" s="12" t="s">
        <v>26</v>
      </c>
      <c r="E3" s="12" t="s">
        <v>21</v>
      </c>
      <c r="F3" s="12" t="s">
        <v>27</v>
      </c>
      <c r="G3" s="12">
        <v>20</v>
      </c>
      <c r="H3" s="12" t="s">
        <v>28</v>
      </c>
      <c r="I3" s="12">
        <v>19</v>
      </c>
      <c r="J3" s="12">
        <v>20</v>
      </c>
      <c r="K3" s="12">
        <v>0</v>
      </c>
      <c r="L3" s="12">
        <v>7</v>
      </c>
      <c r="M3" s="12">
        <v>6.8</v>
      </c>
      <c r="N3" s="12">
        <v>0</v>
      </c>
      <c r="O3" s="13">
        <v>1</v>
      </c>
      <c r="P3" s="13">
        <v>0.887</v>
      </c>
      <c r="Q3" s="13">
        <v>0.955</v>
      </c>
      <c r="R3" s="12" t="s">
        <v>24</v>
      </c>
    </row>
    <row r="4" ht="14.4" spans="1:18">
      <c r="A4" s="11">
        <v>46027</v>
      </c>
      <c r="B4" s="12" t="s">
        <v>18</v>
      </c>
      <c r="C4" s="12" t="s">
        <v>29</v>
      </c>
      <c r="D4" s="12" t="s">
        <v>30</v>
      </c>
      <c r="E4" s="12" t="s">
        <v>31</v>
      </c>
      <c r="F4" s="12" t="s">
        <v>32</v>
      </c>
      <c r="G4" s="12">
        <v>20</v>
      </c>
      <c r="H4" s="12" t="s">
        <v>23</v>
      </c>
      <c r="I4" s="12">
        <v>11</v>
      </c>
      <c r="J4" s="12">
        <v>12</v>
      </c>
      <c r="K4" s="12">
        <v>0</v>
      </c>
      <c r="L4" s="12">
        <v>9</v>
      </c>
      <c r="M4" s="12">
        <v>9.7</v>
      </c>
      <c r="N4" s="12">
        <v>0.7</v>
      </c>
      <c r="O4" s="13">
        <v>1</v>
      </c>
      <c r="P4" s="13">
        <v>0.924</v>
      </c>
      <c r="Q4" s="13">
        <v>0.97</v>
      </c>
      <c r="R4" s="12" t="s">
        <v>24</v>
      </c>
    </row>
    <row r="5" ht="14.4" spans="1:18">
      <c r="A5" s="11">
        <v>46029</v>
      </c>
      <c r="B5" s="12" t="s">
        <v>18</v>
      </c>
      <c r="C5" s="12" t="s">
        <v>33</v>
      </c>
      <c r="D5" s="12" t="s">
        <v>34</v>
      </c>
      <c r="E5" s="12" t="s">
        <v>31</v>
      </c>
      <c r="F5" s="12" t="s">
        <v>22</v>
      </c>
      <c r="G5" s="12">
        <v>22</v>
      </c>
      <c r="H5" s="12" t="s">
        <v>28</v>
      </c>
      <c r="I5" s="12">
        <v>16</v>
      </c>
      <c r="J5" s="12">
        <v>16</v>
      </c>
      <c r="K5" s="12">
        <v>0</v>
      </c>
      <c r="L5" s="12">
        <v>7</v>
      </c>
      <c r="M5" s="12">
        <v>8.7</v>
      </c>
      <c r="N5" s="12">
        <v>1.7</v>
      </c>
      <c r="O5" s="13">
        <v>0.992</v>
      </c>
      <c r="P5" s="13">
        <v>0.933</v>
      </c>
      <c r="Q5" s="13">
        <v>0.968</v>
      </c>
      <c r="R5" s="12" t="s">
        <v>24</v>
      </c>
    </row>
    <row r="6" ht="14.4" spans="1:18">
      <c r="A6" s="11">
        <v>46031</v>
      </c>
      <c r="B6" s="12" t="s">
        <v>18</v>
      </c>
      <c r="C6" s="12" t="s">
        <v>35</v>
      </c>
      <c r="D6" s="12" t="s">
        <v>36</v>
      </c>
      <c r="E6" s="12" t="s">
        <v>37</v>
      </c>
      <c r="F6" s="12" t="s">
        <v>38</v>
      </c>
      <c r="G6" s="12">
        <v>20</v>
      </c>
      <c r="H6" s="12" t="s">
        <v>23</v>
      </c>
      <c r="I6" s="12">
        <v>19</v>
      </c>
      <c r="J6" s="12">
        <v>19</v>
      </c>
      <c r="K6" s="12">
        <v>0</v>
      </c>
      <c r="L6" s="12">
        <v>8</v>
      </c>
      <c r="M6" s="12">
        <v>7.7</v>
      </c>
      <c r="N6" s="12">
        <v>0</v>
      </c>
      <c r="O6" s="13">
        <v>0.964</v>
      </c>
      <c r="P6" s="13">
        <v>0.891</v>
      </c>
      <c r="Q6" s="13">
        <v>0.935</v>
      </c>
      <c r="R6" s="12" t="s">
        <v>24</v>
      </c>
    </row>
    <row r="7" ht="14.4" spans="1:18">
      <c r="A7" s="11">
        <v>46033</v>
      </c>
      <c r="B7" s="12" t="s">
        <v>18</v>
      </c>
      <c r="C7" s="12" t="s">
        <v>39</v>
      </c>
      <c r="D7" s="12" t="s">
        <v>40</v>
      </c>
      <c r="E7" s="12" t="s">
        <v>37</v>
      </c>
      <c r="F7" s="12" t="s">
        <v>27</v>
      </c>
      <c r="G7" s="12">
        <v>21</v>
      </c>
      <c r="H7" s="12" t="s">
        <v>23</v>
      </c>
      <c r="I7" s="12">
        <v>9</v>
      </c>
      <c r="J7" s="12">
        <v>9</v>
      </c>
      <c r="K7" s="12">
        <v>10</v>
      </c>
      <c r="L7" s="12">
        <v>7</v>
      </c>
      <c r="M7" s="12">
        <v>6.7</v>
      </c>
      <c r="N7" s="12">
        <v>0</v>
      </c>
      <c r="O7" s="13">
        <v>0.977</v>
      </c>
      <c r="P7" s="13">
        <v>0.933</v>
      </c>
      <c r="Q7" s="13">
        <v>0.959</v>
      </c>
      <c r="R7" s="12" t="s">
        <v>24</v>
      </c>
    </row>
    <row r="8" ht="14.4" spans="1:18">
      <c r="A8" s="11">
        <v>46035</v>
      </c>
      <c r="B8" s="12" t="s">
        <v>18</v>
      </c>
      <c r="C8" s="12" t="s">
        <v>41</v>
      </c>
      <c r="D8" s="12" t="s">
        <v>42</v>
      </c>
      <c r="E8" s="12" t="s">
        <v>43</v>
      </c>
      <c r="F8" s="12" t="s">
        <v>32</v>
      </c>
      <c r="G8" s="12">
        <v>21</v>
      </c>
      <c r="H8" s="12" t="s">
        <v>23</v>
      </c>
      <c r="I8" s="12">
        <v>19</v>
      </c>
      <c r="J8" s="12">
        <v>19</v>
      </c>
      <c r="K8" s="12">
        <v>0</v>
      </c>
      <c r="L8" s="12">
        <v>9</v>
      </c>
      <c r="M8" s="12">
        <v>10.7</v>
      </c>
      <c r="N8" s="12">
        <v>1.7</v>
      </c>
      <c r="O8" s="13">
        <v>0.94</v>
      </c>
      <c r="P8" s="13">
        <v>1</v>
      </c>
      <c r="Q8" s="13">
        <v>0.964</v>
      </c>
      <c r="R8" s="12" t="s">
        <v>24</v>
      </c>
    </row>
    <row r="9" ht="14.4" spans="1:18">
      <c r="A9" s="11">
        <v>46037</v>
      </c>
      <c r="B9" s="12" t="s">
        <v>18</v>
      </c>
      <c r="C9" s="12" t="s">
        <v>44</v>
      </c>
      <c r="D9" s="12" t="s">
        <v>45</v>
      </c>
      <c r="E9" s="12" t="s">
        <v>43</v>
      </c>
      <c r="F9" s="12" t="s">
        <v>22</v>
      </c>
      <c r="G9" s="12">
        <v>20</v>
      </c>
      <c r="H9" s="12" t="s">
        <v>46</v>
      </c>
      <c r="I9" s="12">
        <v>12</v>
      </c>
      <c r="J9" s="12">
        <v>15</v>
      </c>
      <c r="K9" s="12">
        <v>0</v>
      </c>
      <c r="L9" s="12">
        <v>9</v>
      </c>
      <c r="M9" s="12">
        <v>9.8</v>
      </c>
      <c r="N9" s="12">
        <v>0.8</v>
      </c>
      <c r="O9" s="13">
        <v>1</v>
      </c>
      <c r="P9" s="13">
        <v>1</v>
      </c>
      <c r="Q9" s="13">
        <v>1</v>
      </c>
      <c r="R9" s="12" t="s">
        <v>24</v>
      </c>
    </row>
    <row r="10" ht="14.4" spans="1:18">
      <c r="A10" s="11">
        <v>46039</v>
      </c>
      <c r="B10" s="12" t="s">
        <v>18</v>
      </c>
      <c r="C10" s="12" t="s">
        <v>47</v>
      </c>
      <c r="D10" s="12" t="s">
        <v>48</v>
      </c>
      <c r="E10" s="12" t="s">
        <v>49</v>
      </c>
      <c r="F10" s="12" t="s">
        <v>38</v>
      </c>
      <c r="G10" s="12">
        <v>22</v>
      </c>
      <c r="H10" s="12" t="s">
        <v>23</v>
      </c>
      <c r="I10" s="12">
        <v>19</v>
      </c>
      <c r="J10" s="12">
        <v>16</v>
      </c>
      <c r="K10" s="12">
        <v>30</v>
      </c>
      <c r="L10" s="12">
        <v>7</v>
      </c>
      <c r="M10" s="12">
        <v>6.5</v>
      </c>
      <c r="N10" s="12">
        <v>0</v>
      </c>
      <c r="O10" s="13">
        <v>0.868</v>
      </c>
      <c r="P10" s="13">
        <v>0.918</v>
      </c>
      <c r="Q10" s="13">
        <v>0.888</v>
      </c>
      <c r="R10" s="12" t="s">
        <v>50</v>
      </c>
    </row>
    <row r="11" ht="14.4" spans="1:18">
      <c r="A11" s="11">
        <v>46041</v>
      </c>
      <c r="B11" s="12" t="s">
        <v>18</v>
      </c>
      <c r="C11" s="12" t="s">
        <v>51</v>
      </c>
      <c r="D11" s="12" t="s">
        <v>52</v>
      </c>
      <c r="E11" s="12" t="s">
        <v>49</v>
      </c>
      <c r="F11" s="12" t="s">
        <v>32</v>
      </c>
      <c r="G11" s="12">
        <v>20</v>
      </c>
      <c r="H11" s="12" t="s">
        <v>23</v>
      </c>
      <c r="I11" s="12">
        <v>9</v>
      </c>
      <c r="J11" s="12">
        <v>9</v>
      </c>
      <c r="K11" s="12">
        <v>40</v>
      </c>
      <c r="L11" s="12">
        <v>8</v>
      </c>
      <c r="M11" s="12">
        <v>8.6</v>
      </c>
      <c r="N11" s="12">
        <v>0.6</v>
      </c>
      <c r="O11" s="13">
        <v>0.993</v>
      </c>
      <c r="P11" s="13">
        <v>1</v>
      </c>
      <c r="Q11" s="13">
        <v>0.996</v>
      </c>
      <c r="R11" s="12" t="s">
        <v>24</v>
      </c>
    </row>
    <row r="12" ht="14.4" spans="1:18">
      <c r="A12" s="11">
        <v>46045</v>
      </c>
      <c r="B12" s="12" t="s">
        <v>18</v>
      </c>
      <c r="C12" s="12" t="s">
        <v>53</v>
      </c>
      <c r="D12" s="12" t="s">
        <v>54</v>
      </c>
      <c r="E12" s="12" t="s">
        <v>55</v>
      </c>
      <c r="F12" s="12" t="s">
        <v>22</v>
      </c>
      <c r="G12" s="12">
        <v>22</v>
      </c>
      <c r="H12" s="12" t="s">
        <v>23</v>
      </c>
      <c r="I12" s="12">
        <v>17</v>
      </c>
      <c r="J12" s="12">
        <v>19</v>
      </c>
      <c r="K12" s="12">
        <v>0</v>
      </c>
      <c r="L12" s="12">
        <v>7</v>
      </c>
      <c r="M12" s="12">
        <v>6.5</v>
      </c>
      <c r="N12" s="12">
        <v>0</v>
      </c>
      <c r="O12" s="13">
        <v>1</v>
      </c>
      <c r="P12" s="13">
        <v>0.934</v>
      </c>
      <c r="Q12" s="13">
        <v>0.974</v>
      </c>
      <c r="R12" s="12" t="s">
        <v>24</v>
      </c>
    </row>
    <row r="13" ht="14.4" spans="1:18">
      <c r="A13" s="11">
        <v>46047</v>
      </c>
      <c r="B13" s="12" t="s">
        <v>18</v>
      </c>
      <c r="C13" s="12" t="s">
        <v>56</v>
      </c>
      <c r="D13" s="12" t="s">
        <v>57</v>
      </c>
      <c r="E13" s="12" t="s">
        <v>21</v>
      </c>
      <c r="F13" s="12" t="s">
        <v>38</v>
      </c>
      <c r="G13" s="12">
        <v>21</v>
      </c>
      <c r="H13" s="12" t="s">
        <v>23</v>
      </c>
      <c r="I13" s="12">
        <v>12</v>
      </c>
      <c r="J13" s="12">
        <v>14</v>
      </c>
      <c r="K13" s="12">
        <v>50</v>
      </c>
      <c r="L13" s="12">
        <v>9</v>
      </c>
      <c r="M13" s="12">
        <v>9.3</v>
      </c>
      <c r="N13" s="12">
        <v>0.3</v>
      </c>
      <c r="O13" s="13">
        <v>1</v>
      </c>
      <c r="P13" s="13">
        <v>1</v>
      </c>
      <c r="Q13" s="13">
        <v>1</v>
      </c>
      <c r="R13" s="12" t="s">
        <v>24</v>
      </c>
    </row>
    <row r="14" ht="14.4" spans="1:18">
      <c r="A14" s="11">
        <v>46049</v>
      </c>
      <c r="B14" s="12" t="s">
        <v>18</v>
      </c>
      <c r="C14" s="12" t="s">
        <v>58</v>
      </c>
      <c r="D14" s="12" t="s">
        <v>59</v>
      </c>
      <c r="E14" s="12" t="s">
        <v>31</v>
      </c>
      <c r="F14" s="12" t="s">
        <v>27</v>
      </c>
      <c r="G14" s="12">
        <v>20</v>
      </c>
      <c r="H14" s="12" t="s">
        <v>23</v>
      </c>
      <c r="I14" s="12">
        <v>8</v>
      </c>
      <c r="J14" s="12">
        <v>11</v>
      </c>
      <c r="K14" s="12">
        <v>0</v>
      </c>
      <c r="L14" s="12">
        <v>8</v>
      </c>
      <c r="M14" s="12">
        <v>5.9</v>
      </c>
      <c r="N14" s="12">
        <v>0</v>
      </c>
      <c r="O14" s="13">
        <v>1</v>
      </c>
      <c r="P14" s="13">
        <v>0.895</v>
      </c>
      <c r="Q14" s="13">
        <v>0.958</v>
      </c>
      <c r="R14" s="12" t="s">
        <v>24</v>
      </c>
    </row>
    <row r="15" ht="14.4" spans="1:18">
      <c r="A15" s="11">
        <v>46051</v>
      </c>
      <c r="B15" s="12" t="s">
        <v>18</v>
      </c>
      <c r="C15" s="12" t="s">
        <v>60</v>
      </c>
      <c r="D15" s="12" t="s">
        <v>61</v>
      </c>
      <c r="E15" s="12" t="s">
        <v>37</v>
      </c>
      <c r="F15" s="12" t="s">
        <v>32</v>
      </c>
      <c r="G15" s="12">
        <v>22</v>
      </c>
      <c r="H15" s="12" t="s">
        <v>28</v>
      </c>
      <c r="I15" s="12">
        <v>13</v>
      </c>
      <c r="J15" s="12">
        <v>11</v>
      </c>
      <c r="K15" s="12">
        <v>2</v>
      </c>
      <c r="L15" s="12">
        <v>9</v>
      </c>
      <c r="M15" s="12">
        <v>7.1</v>
      </c>
      <c r="N15" s="12">
        <v>0</v>
      </c>
      <c r="O15" s="13">
        <v>0.846</v>
      </c>
      <c r="P15" s="13">
        <v>0.921</v>
      </c>
      <c r="Q15" s="13">
        <v>0.876</v>
      </c>
      <c r="R15" s="12" t="s">
        <v>50</v>
      </c>
    </row>
    <row r="16" ht="14.4" spans="1:18">
      <c r="A16" s="11">
        <v>46053</v>
      </c>
      <c r="B16" s="12" t="s">
        <v>18</v>
      </c>
      <c r="C16" s="12" t="s">
        <v>62</v>
      </c>
      <c r="D16" s="12" t="s">
        <v>63</v>
      </c>
      <c r="E16" s="12" t="s">
        <v>43</v>
      </c>
      <c r="F16" s="12" t="s">
        <v>38</v>
      </c>
      <c r="G16" s="12">
        <v>22</v>
      </c>
      <c r="H16" s="12" t="s">
        <v>23</v>
      </c>
      <c r="I16" s="12">
        <v>10</v>
      </c>
      <c r="J16" s="12">
        <v>9</v>
      </c>
      <c r="K16" s="12">
        <v>1</v>
      </c>
      <c r="L16" s="12">
        <v>7</v>
      </c>
      <c r="M16" s="12">
        <v>6.4</v>
      </c>
      <c r="N16" s="12">
        <v>0</v>
      </c>
      <c r="O16" s="13">
        <v>0.859</v>
      </c>
      <c r="P16" s="13">
        <v>0.863</v>
      </c>
      <c r="Q16" s="13">
        <v>0.861</v>
      </c>
      <c r="R16" s="12" t="s">
        <v>50</v>
      </c>
    </row>
    <row r="17" ht="14.4" spans="1:18">
      <c r="A17" s="11">
        <v>46055</v>
      </c>
      <c r="B17" s="12" t="s">
        <v>64</v>
      </c>
      <c r="C17" s="12" t="s">
        <v>65</v>
      </c>
      <c r="D17" s="12" t="s">
        <v>66</v>
      </c>
      <c r="E17" s="12" t="s">
        <v>49</v>
      </c>
      <c r="F17" s="12" t="s">
        <v>22</v>
      </c>
      <c r="G17" s="12">
        <v>21</v>
      </c>
      <c r="H17" s="12" t="s">
        <v>28</v>
      </c>
      <c r="I17" s="12">
        <v>17</v>
      </c>
      <c r="J17" s="12">
        <v>17</v>
      </c>
      <c r="K17" s="12">
        <v>0</v>
      </c>
      <c r="L17" s="12">
        <v>9</v>
      </c>
      <c r="M17" s="12">
        <v>7.9</v>
      </c>
      <c r="N17" s="12">
        <v>0</v>
      </c>
      <c r="O17" s="13">
        <v>0.984</v>
      </c>
      <c r="P17" s="13">
        <v>0.912</v>
      </c>
      <c r="Q17" s="13">
        <v>0.955</v>
      </c>
      <c r="R17" s="12" t="s">
        <v>24</v>
      </c>
    </row>
    <row r="18" ht="14.4" spans="1:18">
      <c r="A18" s="11">
        <v>46057</v>
      </c>
      <c r="B18" s="12" t="s">
        <v>64</v>
      </c>
      <c r="C18" s="12" t="s">
        <v>67</v>
      </c>
      <c r="D18" s="12" t="s">
        <v>68</v>
      </c>
      <c r="E18" s="12" t="s">
        <v>55</v>
      </c>
      <c r="F18" s="12" t="s">
        <v>32</v>
      </c>
      <c r="G18" s="12">
        <v>20</v>
      </c>
      <c r="H18" s="12" t="s">
        <v>46</v>
      </c>
      <c r="I18" s="12">
        <v>15</v>
      </c>
      <c r="J18" s="12">
        <v>12</v>
      </c>
      <c r="K18" s="12">
        <v>3</v>
      </c>
      <c r="L18" s="12">
        <v>7</v>
      </c>
      <c r="M18" s="12">
        <v>7.3</v>
      </c>
      <c r="N18" s="12">
        <v>0.3</v>
      </c>
      <c r="O18" s="13">
        <v>0.858</v>
      </c>
      <c r="P18" s="13">
        <v>0.772</v>
      </c>
      <c r="Q18" s="13">
        <v>0.824</v>
      </c>
      <c r="R18" s="12" t="s">
        <v>50</v>
      </c>
    </row>
    <row r="19" ht="14.4" spans="1:18">
      <c r="A19" s="11">
        <v>46061</v>
      </c>
      <c r="B19" s="12" t="s">
        <v>64</v>
      </c>
      <c r="C19" s="12" t="s">
        <v>69</v>
      </c>
      <c r="D19" s="12" t="s">
        <v>70</v>
      </c>
      <c r="E19" s="12" t="s">
        <v>31</v>
      </c>
      <c r="F19" s="12" t="s">
        <v>38</v>
      </c>
      <c r="G19" s="12">
        <v>21</v>
      </c>
      <c r="H19" s="12" t="s">
        <v>46</v>
      </c>
      <c r="I19" s="12">
        <v>12</v>
      </c>
      <c r="J19" s="12">
        <v>13</v>
      </c>
      <c r="K19" s="12">
        <v>70</v>
      </c>
      <c r="L19" s="12">
        <v>7</v>
      </c>
      <c r="M19" s="12">
        <v>5.4</v>
      </c>
      <c r="N19" s="12">
        <v>0</v>
      </c>
      <c r="O19" s="13">
        <v>1</v>
      </c>
      <c r="P19" s="13">
        <v>0.905</v>
      </c>
      <c r="Q19" s="13">
        <v>0.962</v>
      </c>
      <c r="R19" s="12" t="s">
        <v>24</v>
      </c>
    </row>
    <row r="20" ht="14.4" spans="1:18">
      <c r="A20" s="11">
        <v>46063</v>
      </c>
      <c r="B20" s="12" t="s">
        <v>64</v>
      </c>
      <c r="C20" s="12" t="s">
        <v>19</v>
      </c>
      <c r="D20" s="12" t="s">
        <v>20</v>
      </c>
      <c r="E20" s="12" t="s">
        <v>21</v>
      </c>
      <c r="F20" s="12" t="s">
        <v>22</v>
      </c>
      <c r="G20" s="12">
        <v>22</v>
      </c>
      <c r="H20" s="12" t="s">
        <v>23</v>
      </c>
      <c r="I20" s="12">
        <v>20</v>
      </c>
      <c r="J20" s="12">
        <v>22</v>
      </c>
      <c r="K20" s="12">
        <v>0</v>
      </c>
      <c r="L20" s="12">
        <v>8</v>
      </c>
      <c r="M20" s="12">
        <v>9.6</v>
      </c>
      <c r="N20" s="12">
        <v>1.6</v>
      </c>
      <c r="O20" s="13">
        <v>1</v>
      </c>
      <c r="P20" s="13">
        <v>0.976</v>
      </c>
      <c r="Q20" s="13">
        <v>0.99</v>
      </c>
      <c r="R20" s="12" t="s">
        <v>24</v>
      </c>
    </row>
    <row r="21" ht="14.4" spans="1:18">
      <c r="A21" s="11">
        <v>46065</v>
      </c>
      <c r="B21" s="12" t="s">
        <v>64</v>
      </c>
      <c r="C21" s="12" t="s">
        <v>25</v>
      </c>
      <c r="D21" s="12" t="s">
        <v>26</v>
      </c>
      <c r="E21" s="12" t="s">
        <v>21</v>
      </c>
      <c r="F21" s="12" t="s">
        <v>27</v>
      </c>
      <c r="G21" s="12">
        <v>21</v>
      </c>
      <c r="H21" s="12" t="s">
        <v>23</v>
      </c>
      <c r="I21" s="12">
        <v>19</v>
      </c>
      <c r="J21" s="12">
        <v>21</v>
      </c>
      <c r="K21" s="12">
        <v>0</v>
      </c>
      <c r="L21" s="12">
        <v>8</v>
      </c>
      <c r="M21" s="12">
        <v>7.8</v>
      </c>
      <c r="N21" s="12">
        <v>0</v>
      </c>
      <c r="O21" s="13">
        <v>1</v>
      </c>
      <c r="P21" s="13">
        <v>1</v>
      </c>
      <c r="Q21" s="13">
        <v>1</v>
      </c>
      <c r="R21" s="12" t="s">
        <v>24</v>
      </c>
    </row>
    <row r="22" ht="14.4" spans="1:18">
      <c r="A22" s="11">
        <v>46067</v>
      </c>
      <c r="B22" s="12" t="s">
        <v>64</v>
      </c>
      <c r="C22" s="12" t="s">
        <v>29</v>
      </c>
      <c r="D22" s="12" t="s">
        <v>30</v>
      </c>
      <c r="E22" s="12" t="s">
        <v>31</v>
      </c>
      <c r="F22" s="12" t="s">
        <v>32</v>
      </c>
      <c r="G22" s="12">
        <v>22</v>
      </c>
      <c r="H22" s="12" t="s">
        <v>23</v>
      </c>
      <c r="I22" s="12">
        <v>18</v>
      </c>
      <c r="J22" s="12">
        <v>17</v>
      </c>
      <c r="K22" s="12">
        <v>1</v>
      </c>
      <c r="L22" s="12">
        <v>9</v>
      </c>
      <c r="M22" s="12">
        <v>9.1</v>
      </c>
      <c r="N22" s="12">
        <v>0.1</v>
      </c>
      <c r="O22" s="13">
        <v>0.946</v>
      </c>
      <c r="P22" s="13">
        <v>0.87</v>
      </c>
      <c r="Q22" s="13">
        <v>0.916</v>
      </c>
      <c r="R22" s="12" t="s">
        <v>24</v>
      </c>
    </row>
    <row r="23" ht="14.4" spans="1:18">
      <c r="A23" s="11">
        <v>46069</v>
      </c>
      <c r="B23" s="12" t="s">
        <v>64</v>
      </c>
      <c r="C23" s="12" t="s">
        <v>33</v>
      </c>
      <c r="D23" s="12" t="s">
        <v>34</v>
      </c>
      <c r="E23" s="12" t="s">
        <v>31</v>
      </c>
      <c r="F23" s="12" t="s">
        <v>22</v>
      </c>
      <c r="G23" s="12">
        <v>21</v>
      </c>
      <c r="H23" s="12" t="s">
        <v>23</v>
      </c>
      <c r="I23" s="12">
        <v>16</v>
      </c>
      <c r="J23" s="12">
        <v>19</v>
      </c>
      <c r="K23" s="12">
        <v>0</v>
      </c>
      <c r="L23" s="12">
        <v>9</v>
      </c>
      <c r="M23" s="12">
        <v>7.4</v>
      </c>
      <c r="N23" s="12">
        <v>0</v>
      </c>
      <c r="O23" s="13">
        <v>1</v>
      </c>
      <c r="P23" s="13">
        <v>1</v>
      </c>
      <c r="Q23" s="13">
        <v>1</v>
      </c>
      <c r="R23" s="12" t="s">
        <v>24</v>
      </c>
    </row>
    <row r="24" ht="14.4" spans="1:18">
      <c r="A24" s="11">
        <v>46071</v>
      </c>
      <c r="B24" s="12" t="s">
        <v>64</v>
      </c>
      <c r="C24" s="12" t="s">
        <v>35</v>
      </c>
      <c r="D24" s="12" t="s">
        <v>36</v>
      </c>
      <c r="E24" s="12" t="s">
        <v>37</v>
      </c>
      <c r="F24" s="12" t="s">
        <v>38</v>
      </c>
      <c r="G24" s="12">
        <v>21</v>
      </c>
      <c r="H24" s="12" t="s">
        <v>23</v>
      </c>
      <c r="I24" s="12">
        <v>9</v>
      </c>
      <c r="J24" s="12">
        <v>8</v>
      </c>
      <c r="K24" s="12">
        <v>1</v>
      </c>
      <c r="L24" s="12">
        <v>8</v>
      </c>
      <c r="M24" s="12">
        <v>7.4</v>
      </c>
      <c r="N24" s="12">
        <v>0</v>
      </c>
      <c r="O24" s="13">
        <v>0.847</v>
      </c>
      <c r="P24" s="13">
        <v>0.78</v>
      </c>
      <c r="Q24" s="13">
        <v>0.82</v>
      </c>
      <c r="R24" s="12" t="s">
        <v>50</v>
      </c>
    </row>
    <row r="25" ht="14.4" spans="1:18">
      <c r="A25" s="11">
        <v>46073</v>
      </c>
      <c r="B25" s="12" t="s">
        <v>64</v>
      </c>
      <c r="C25" s="12" t="s">
        <v>39</v>
      </c>
      <c r="D25" s="12" t="s">
        <v>40</v>
      </c>
      <c r="E25" s="12" t="s">
        <v>37</v>
      </c>
      <c r="F25" s="12" t="s">
        <v>27</v>
      </c>
      <c r="G25" s="12">
        <v>22</v>
      </c>
      <c r="H25" s="12" t="s">
        <v>23</v>
      </c>
      <c r="I25" s="12">
        <v>9</v>
      </c>
      <c r="J25" s="12">
        <v>11</v>
      </c>
      <c r="K25" s="12">
        <v>0</v>
      </c>
      <c r="L25" s="12">
        <v>8</v>
      </c>
      <c r="M25" s="12">
        <v>8.1</v>
      </c>
      <c r="N25" s="12">
        <v>0.1</v>
      </c>
      <c r="O25" s="13">
        <v>1</v>
      </c>
      <c r="P25" s="13">
        <v>1</v>
      </c>
      <c r="Q25" s="13">
        <v>1</v>
      </c>
      <c r="R25" s="12" t="s">
        <v>24</v>
      </c>
    </row>
    <row r="26" ht="14.4" spans="1:18">
      <c r="A26" s="11">
        <v>46075</v>
      </c>
      <c r="B26" s="12" t="s">
        <v>64</v>
      </c>
      <c r="C26" s="12" t="s">
        <v>41</v>
      </c>
      <c r="D26" s="12" t="s">
        <v>42</v>
      </c>
      <c r="E26" s="12" t="s">
        <v>43</v>
      </c>
      <c r="F26" s="12" t="s">
        <v>32</v>
      </c>
      <c r="G26" s="12">
        <v>22</v>
      </c>
      <c r="H26" s="12" t="s">
        <v>23</v>
      </c>
      <c r="I26" s="12">
        <v>10</v>
      </c>
      <c r="J26" s="12">
        <v>12</v>
      </c>
      <c r="K26" s="12">
        <v>0</v>
      </c>
      <c r="L26" s="12">
        <v>8</v>
      </c>
      <c r="M26" s="12">
        <v>6.7</v>
      </c>
      <c r="N26" s="12">
        <v>0</v>
      </c>
      <c r="O26" s="13">
        <v>1</v>
      </c>
      <c r="P26" s="13">
        <v>0.916</v>
      </c>
      <c r="Q26" s="13">
        <v>0.966</v>
      </c>
      <c r="R26" s="12" t="s">
        <v>24</v>
      </c>
    </row>
    <row r="27" ht="14.4" spans="1:18">
      <c r="A27" s="11">
        <v>46077</v>
      </c>
      <c r="B27" s="12" t="s">
        <v>64</v>
      </c>
      <c r="C27" s="12" t="s">
        <v>44</v>
      </c>
      <c r="D27" s="12" t="s">
        <v>45</v>
      </c>
      <c r="E27" s="12" t="s">
        <v>43</v>
      </c>
      <c r="F27" s="12" t="s">
        <v>22</v>
      </c>
      <c r="G27" s="12">
        <v>22</v>
      </c>
      <c r="H27" s="12" t="s">
        <v>46</v>
      </c>
      <c r="I27" s="12">
        <v>14</v>
      </c>
      <c r="J27" s="12">
        <v>12</v>
      </c>
      <c r="K27" s="12">
        <v>2</v>
      </c>
      <c r="L27" s="12">
        <v>9</v>
      </c>
      <c r="M27" s="12">
        <v>9.4</v>
      </c>
      <c r="N27" s="12">
        <v>0.4</v>
      </c>
      <c r="O27" s="13">
        <v>0.898</v>
      </c>
      <c r="P27" s="13">
        <v>0.93</v>
      </c>
      <c r="Q27" s="13">
        <v>0.911</v>
      </c>
      <c r="R27" s="12" t="s">
        <v>24</v>
      </c>
    </row>
    <row r="28" ht="14.4" spans="1:18">
      <c r="A28" s="11">
        <v>46081</v>
      </c>
      <c r="B28" s="12" t="s">
        <v>64</v>
      </c>
      <c r="C28" s="12" t="s">
        <v>51</v>
      </c>
      <c r="D28" s="12" t="s">
        <v>52</v>
      </c>
      <c r="E28" s="12" t="s">
        <v>49</v>
      </c>
      <c r="F28" s="12" t="s">
        <v>32</v>
      </c>
      <c r="G28" s="12">
        <v>21</v>
      </c>
      <c r="H28" s="12" t="s">
        <v>23</v>
      </c>
      <c r="I28" s="12">
        <v>11</v>
      </c>
      <c r="J28" s="12">
        <v>9</v>
      </c>
      <c r="K28" s="12">
        <v>2</v>
      </c>
      <c r="L28" s="12">
        <v>7</v>
      </c>
      <c r="M28" s="12">
        <v>6.7</v>
      </c>
      <c r="N28" s="12">
        <v>0</v>
      </c>
      <c r="O28" s="13">
        <v>0.792</v>
      </c>
      <c r="P28" s="13">
        <v>0.801</v>
      </c>
      <c r="Q28" s="13">
        <v>0.796</v>
      </c>
      <c r="R28" s="12" t="s">
        <v>50</v>
      </c>
    </row>
    <row r="29" ht="14.4" spans="1:18">
      <c r="A29" s="11">
        <v>46083</v>
      </c>
      <c r="B29" s="12" t="s">
        <v>71</v>
      </c>
      <c r="C29" s="12" t="s">
        <v>72</v>
      </c>
      <c r="D29" s="12" t="s">
        <v>73</v>
      </c>
      <c r="E29" s="12" t="s">
        <v>55</v>
      </c>
      <c r="F29" s="12" t="s">
        <v>27</v>
      </c>
      <c r="G29" s="12">
        <v>20</v>
      </c>
      <c r="H29" s="12" t="s">
        <v>46</v>
      </c>
      <c r="I29" s="12">
        <v>11</v>
      </c>
      <c r="J29" s="12">
        <v>8</v>
      </c>
      <c r="K29" s="12">
        <v>3</v>
      </c>
      <c r="L29" s="12">
        <v>7</v>
      </c>
      <c r="M29" s="12">
        <v>6.3</v>
      </c>
      <c r="N29" s="12">
        <v>0</v>
      </c>
      <c r="O29" s="13">
        <v>0.761</v>
      </c>
      <c r="P29" s="13">
        <v>0.654</v>
      </c>
      <c r="Q29" s="13">
        <v>0.718</v>
      </c>
      <c r="R29" s="12" t="s">
        <v>74</v>
      </c>
    </row>
    <row r="30" ht="14.4" spans="1:18">
      <c r="A30" s="11">
        <v>46085</v>
      </c>
      <c r="B30" s="12" t="s">
        <v>71</v>
      </c>
      <c r="C30" s="12" t="s">
        <v>53</v>
      </c>
      <c r="D30" s="12" t="s">
        <v>54</v>
      </c>
      <c r="E30" s="12" t="s">
        <v>55</v>
      </c>
      <c r="F30" s="12" t="s">
        <v>22</v>
      </c>
      <c r="G30" s="12">
        <v>20</v>
      </c>
      <c r="H30" s="12" t="s">
        <v>23</v>
      </c>
      <c r="I30" s="12">
        <v>13</v>
      </c>
      <c r="J30" s="12">
        <v>10</v>
      </c>
      <c r="K30" s="12">
        <v>3</v>
      </c>
      <c r="L30" s="12">
        <v>9</v>
      </c>
      <c r="M30" s="12">
        <v>11</v>
      </c>
      <c r="N30" s="12">
        <v>2</v>
      </c>
      <c r="O30" s="13">
        <v>0.727</v>
      </c>
      <c r="P30" s="13">
        <v>0.754</v>
      </c>
      <c r="Q30" s="13">
        <v>0.738</v>
      </c>
      <c r="R30" s="12" t="s">
        <v>74</v>
      </c>
    </row>
    <row r="31" ht="14.4" spans="1:18">
      <c r="A31" s="11">
        <v>46087</v>
      </c>
      <c r="B31" s="12" t="s">
        <v>71</v>
      </c>
      <c r="C31" s="12" t="s">
        <v>56</v>
      </c>
      <c r="D31" s="12" t="s">
        <v>57</v>
      </c>
      <c r="E31" s="12" t="s">
        <v>21</v>
      </c>
      <c r="F31" s="12" t="s">
        <v>38</v>
      </c>
      <c r="G31" s="12">
        <v>20</v>
      </c>
      <c r="H31" s="12" t="s">
        <v>46</v>
      </c>
      <c r="I31" s="12">
        <v>10</v>
      </c>
      <c r="J31" s="12">
        <v>12</v>
      </c>
      <c r="K31" s="12">
        <v>0</v>
      </c>
      <c r="L31" s="12">
        <v>9</v>
      </c>
      <c r="M31" s="12">
        <v>9</v>
      </c>
      <c r="N31" s="12">
        <v>0</v>
      </c>
      <c r="O31" s="13">
        <v>1</v>
      </c>
      <c r="P31" s="13">
        <v>0.933</v>
      </c>
      <c r="Q31" s="13">
        <v>0.973</v>
      </c>
      <c r="R31" s="12" t="s">
        <v>24</v>
      </c>
    </row>
    <row r="32" ht="14.4" spans="1:18">
      <c r="A32" s="11">
        <v>46089</v>
      </c>
      <c r="B32" s="12" t="s">
        <v>71</v>
      </c>
      <c r="C32" s="12" t="s">
        <v>58</v>
      </c>
      <c r="D32" s="12" t="s">
        <v>59</v>
      </c>
      <c r="E32" s="12" t="s">
        <v>31</v>
      </c>
      <c r="F32" s="12" t="s">
        <v>27</v>
      </c>
      <c r="G32" s="12">
        <v>21</v>
      </c>
      <c r="H32" s="12" t="s">
        <v>23</v>
      </c>
      <c r="I32" s="12">
        <v>11</v>
      </c>
      <c r="J32" s="12">
        <v>8</v>
      </c>
      <c r="K32" s="12">
        <v>50</v>
      </c>
      <c r="L32" s="12">
        <v>7</v>
      </c>
      <c r="M32" s="12">
        <v>5.8</v>
      </c>
      <c r="N32" s="12">
        <v>0</v>
      </c>
      <c r="O32" s="13">
        <v>0.753</v>
      </c>
      <c r="P32" s="13">
        <v>0.711</v>
      </c>
      <c r="Q32" s="13">
        <v>0.736</v>
      </c>
      <c r="R32" s="12" t="s">
        <v>74</v>
      </c>
    </row>
    <row r="33" ht="14.4" spans="1:18">
      <c r="A33" s="11">
        <v>46091</v>
      </c>
      <c r="B33" s="12" t="s">
        <v>71</v>
      </c>
      <c r="C33" s="12" t="s">
        <v>60</v>
      </c>
      <c r="D33" s="12" t="s">
        <v>61</v>
      </c>
      <c r="E33" s="12" t="s">
        <v>37</v>
      </c>
      <c r="F33" s="12" t="s">
        <v>32</v>
      </c>
      <c r="G33" s="12">
        <v>21</v>
      </c>
      <c r="H33" s="12" t="s">
        <v>23</v>
      </c>
      <c r="I33" s="12">
        <v>19</v>
      </c>
      <c r="J33" s="12">
        <v>16</v>
      </c>
      <c r="K33" s="12">
        <v>3</v>
      </c>
      <c r="L33" s="12">
        <v>9</v>
      </c>
      <c r="M33" s="12">
        <v>9.9</v>
      </c>
      <c r="N33" s="12">
        <v>0.9</v>
      </c>
      <c r="O33" s="13">
        <v>0.867</v>
      </c>
      <c r="P33" s="13">
        <v>0.889</v>
      </c>
      <c r="Q33" s="13">
        <v>0.876</v>
      </c>
      <c r="R33" s="12" t="s">
        <v>50</v>
      </c>
    </row>
    <row r="34" ht="14.4" spans="1:18">
      <c r="A34" s="11">
        <v>46093</v>
      </c>
      <c r="B34" s="12" t="s">
        <v>71</v>
      </c>
      <c r="C34" s="12" t="s">
        <v>62</v>
      </c>
      <c r="D34" s="12" t="s">
        <v>63</v>
      </c>
      <c r="E34" s="12" t="s">
        <v>43</v>
      </c>
      <c r="F34" s="12" t="s">
        <v>38</v>
      </c>
      <c r="G34" s="12">
        <v>20</v>
      </c>
      <c r="H34" s="12" t="s">
        <v>23</v>
      </c>
      <c r="I34" s="12">
        <v>19</v>
      </c>
      <c r="J34" s="12">
        <v>18</v>
      </c>
      <c r="K34" s="12">
        <v>1</v>
      </c>
      <c r="L34" s="12">
        <v>7</v>
      </c>
      <c r="M34" s="12">
        <v>5.7</v>
      </c>
      <c r="N34" s="12">
        <v>0</v>
      </c>
      <c r="O34" s="13">
        <v>0.907</v>
      </c>
      <c r="P34" s="13">
        <v>0.829</v>
      </c>
      <c r="Q34" s="13">
        <v>0.876</v>
      </c>
      <c r="R34" s="12" t="s">
        <v>50</v>
      </c>
    </row>
    <row r="35" ht="14.4" spans="1:18">
      <c r="A35" s="11">
        <v>46095</v>
      </c>
      <c r="B35" s="12" t="s">
        <v>71</v>
      </c>
      <c r="C35" s="12" t="s">
        <v>65</v>
      </c>
      <c r="D35" s="12" t="s">
        <v>66</v>
      </c>
      <c r="E35" s="12" t="s">
        <v>49</v>
      </c>
      <c r="F35" s="12" t="s">
        <v>22</v>
      </c>
      <c r="G35" s="12">
        <v>21</v>
      </c>
      <c r="H35" s="12" t="s">
        <v>23</v>
      </c>
      <c r="I35" s="12">
        <v>14</v>
      </c>
      <c r="J35" s="12">
        <v>12</v>
      </c>
      <c r="K35" s="12">
        <v>2</v>
      </c>
      <c r="L35" s="12">
        <v>8</v>
      </c>
      <c r="M35" s="12">
        <v>8.2</v>
      </c>
      <c r="N35" s="12">
        <v>0.2</v>
      </c>
      <c r="O35" s="13">
        <v>0.851</v>
      </c>
      <c r="P35" s="13">
        <v>0.923</v>
      </c>
      <c r="Q35" s="13">
        <v>0.88</v>
      </c>
      <c r="R35" s="12" t="s">
        <v>50</v>
      </c>
    </row>
    <row r="36" ht="14.4" spans="1:18">
      <c r="A36" s="11">
        <v>46097</v>
      </c>
      <c r="B36" s="12" t="s">
        <v>71</v>
      </c>
      <c r="C36" s="12" t="s">
        <v>67</v>
      </c>
      <c r="D36" s="12" t="s">
        <v>68</v>
      </c>
      <c r="E36" s="12" t="s">
        <v>55</v>
      </c>
      <c r="F36" s="12" t="s">
        <v>32</v>
      </c>
      <c r="G36" s="12">
        <v>20</v>
      </c>
      <c r="H36" s="12" t="s">
        <v>23</v>
      </c>
      <c r="I36" s="12">
        <v>20</v>
      </c>
      <c r="J36" s="12">
        <v>23</v>
      </c>
      <c r="K36" s="12">
        <v>0</v>
      </c>
      <c r="L36" s="12">
        <v>9</v>
      </c>
      <c r="M36" s="12">
        <v>6.8</v>
      </c>
      <c r="N36" s="12">
        <v>0</v>
      </c>
      <c r="O36" s="13">
        <v>1</v>
      </c>
      <c r="P36" s="13">
        <v>1</v>
      </c>
      <c r="Q36" s="13">
        <v>1</v>
      </c>
      <c r="R36" s="12" t="s">
        <v>24</v>
      </c>
    </row>
    <row r="37" ht="14.4" spans="1:18">
      <c r="A37" s="11">
        <v>46101</v>
      </c>
      <c r="B37" s="12" t="s">
        <v>71</v>
      </c>
      <c r="C37" s="12" t="s">
        <v>69</v>
      </c>
      <c r="D37" s="12" t="s">
        <v>70</v>
      </c>
      <c r="E37" s="12" t="s">
        <v>31</v>
      </c>
      <c r="F37" s="12" t="s">
        <v>38</v>
      </c>
      <c r="G37" s="12">
        <v>20</v>
      </c>
      <c r="H37" s="12" t="s">
        <v>23</v>
      </c>
      <c r="I37" s="12">
        <v>8</v>
      </c>
      <c r="J37" s="12">
        <v>6</v>
      </c>
      <c r="K37" s="12">
        <v>2</v>
      </c>
      <c r="L37" s="12">
        <v>8</v>
      </c>
      <c r="M37" s="12">
        <v>8.2</v>
      </c>
      <c r="N37" s="12">
        <v>0.2</v>
      </c>
      <c r="O37" s="13">
        <v>0.67</v>
      </c>
      <c r="P37" s="13">
        <v>0.636</v>
      </c>
      <c r="Q37" s="13">
        <v>0.656</v>
      </c>
      <c r="R37" s="12" t="s">
        <v>74</v>
      </c>
    </row>
    <row r="38" ht="14.4" spans="1:18">
      <c r="A38" s="11">
        <v>46103</v>
      </c>
      <c r="B38" s="12" t="s">
        <v>71</v>
      </c>
      <c r="C38" s="12" t="s">
        <v>19</v>
      </c>
      <c r="D38" s="12" t="s">
        <v>20</v>
      </c>
      <c r="E38" s="12" t="s">
        <v>21</v>
      </c>
      <c r="F38" s="12" t="s">
        <v>22</v>
      </c>
      <c r="G38" s="12">
        <v>21</v>
      </c>
      <c r="H38" s="12" t="s">
        <v>23</v>
      </c>
      <c r="I38" s="12">
        <v>14</v>
      </c>
      <c r="J38" s="12">
        <v>16</v>
      </c>
      <c r="K38" s="12">
        <v>0</v>
      </c>
      <c r="L38" s="12">
        <v>9</v>
      </c>
      <c r="M38" s="12">
        <v>9.8</v>
      </c>
      <c r="N38" s="12">
        <v>0.8</v>
      </c>
      <c r="O38" s="13">
        <v>1</v>
      </c>
      <c r="P38" s="13">
        <v>1</v>
      </c>
      <c r="Q38" s="13">
        <v>1</v>
      </c>
      <c r="R38" s="12" t="s">
        <v>24</v>
      </c>
    </row>
    <row r="39" ht="14.4" spans="1:18">
      <c r="A39" s="11">
        <v>46105</v>
      </c>
      <c r="B39" s="12" t="s">
        <v>71</v>
      </c>
      <c r="C39" s="12" t="s">
        <v>25</v>
      </c>
      <c r="D39" s="12" t="s">
        <v>26</v>
      </c>
      <c r="E39" s="12" t="s">
        <v>21</v>
      </c>
      <c r="F39" s="12" t="s">
        <v>27</v>
      </c>
      <c r="G39" s="12">
        <v>22</v>
      </c>
      <c r="H39" s="12" t="s">
        <v>23</v>
      </c>
      <c r="I39" s="12">
        <v>10</v>
      </c>
      <c r="J39" s="12">
        <v>8</v>
      </c>
      <c r="K39" s="12">
        <v>2</v>
      </c>
      <c r="L39" s="12">
        <v>8</v>
      </c>
      <c r="M39" s="12">
        <v>8.2</v>
      </c>
      <c r="N39" s="12">
        <v>0.2</v>
      </c>
      <c r="O39" s="13">
        <v>0.755</v>
      </c>
      <c r="P39" s="13">
        <v>0.648</v>
      </c>
      <c r="Q39" s="13">
        <v>0.712</v>
      </c>
      <c r="R39" s="12" t="s">
        <v>74</v>
      </c>
    </row>
    <row r="40" ht="14.4" spans="1:18">
      <c r="A40" s="11">
        <v>46107</v>
      </c>
      <c r="B40" s="12" t="s">
        <v>71</v>
      </c>
      <c r="C40" s="12" t="s">
        <v>29</v>
      </c>
      <c r="D40" s="12" t="s">
        <v>30</v>
      </c>
      <c r="E40" s="12" t="s">
        <v>31</v>
      </c>
      <c r="F40" s="12" t="s">
        <v>32</v>
      </c>
      <c r="G40" s="12">
        <v>22</v>
      </c>
      <c r="H40" s="12" t="s">
        <v>46</v>
      </c>
      <c r="I40" s="12">
        <v>8</v>
      </c>
      <c r="J40" s="12">
        <v>10</v>
      </c>
      <c r="K40" s="12">
        <v>0</v>
      </c>
      <c r="L40" s="12">
        <v>8</v>
      </c>
      <c r="M40" s="12">
        <v>7.9</v>
      </c>
      <c r="N40" s="12">
        <v>0</v>
      </c>
      <c r="O40" s="13">
        <v>1</v>
      </c>
      <c r="P40" s="13">
        <v>1</v>
      </c>
      <c r="Q40" s="13">
        <v>1</v>
      </c>
      <c r="R40" s="12" t="s">
        <v>24</v>
      </c>
    </row>
    <row r="41" ht="14.4" spans="1:18">
      <c r="A41" s="11">
        <v>46109</v>
      </c>
      <c r="B41" s="12" t="s">
        <v>71</v>
      </c>
      <c r="C41" s="12" t="s">
        <v>33</v>
      </c>
      <c r="D41" s="12" t="s">
        <v>34</v>
      </c>
      <c r="E41" s="12" t="s">
        <v>31</v>
      </c>
      <c r="F41" s="12" t="s">
        <v>22</v>
      </c>
      <c r="G41" s="12">
        <v>22</v>
      </c>
      <c r="H41" s="12" t="s">
        <v>46</v>
      </c>
      <c r="I41" s="12">
        <v>10</v>
      </c>
      <c r="J41" s="12">
        <v>7</v>
      </c>
      <c r="K41" s="12">
        <v>3</v>
      </c>
      <c r="L41" s="12">
        <v>9</v>
      </c>
      <c r="M41" s="12">
        <v>8.7</v>
      </c>
      <c r="N41" s="12">
        <v>0</v>
      </c>
      <c r="O41" s="13">
        <v>0.633</v>
      </c>
      <c r="P41" s="13">
        <v>0.554</v>
      </c>
      <c r="Q41" s="13">
        <v>0.601</v>
      </c>
      <c r="R41" s="12" t="s">
        <v>74</v>
      </c>
    </row>
    <row r="42" ht="14.4" spans="1:18">
      <c r="A42" s="11">
        <v>46111</v>
      </c>
      <c r="B42" s="12" t="s">
        <v>71</v>
      </c>
      <c r="C42" s="12" t="s">
        <v>35</v>
      </c>
      <c r="D42" s="12" t="s">
        <v>36</v>
      </c>
      <c r="E42" s="12" t="s">
        <v>37</v>
      </c>
      <c r="F42" s="12" t="s">
        <v>38</v>
      </c>
      <c r="G42" s="12">
        <v>22</v>
      </c>
      <c r="H42" s="12" t="s">
        <v>23</v>
      </c>
      <c r="I42" s="12">
        <v>18</v>
      </c>
      <c r="J42" s="12">
        <v>21</v>
      </c>
      <c r="K42" s="12">
        <v>0</v>
      </c>
      <c r="L42" s="12">
        <v>7</v>
      </c>
      <c r="M42" s="12">
        <v>5.4</v>
      </c>
      <c r="N42" s="12">
        <v>0</v>
      </c>
      <c r="O42" s="13">
        <v>1</v>
      </c>
      <c r="P42" s="13">
        <v>1</v>
      </c>
      <c r="Q42" s="13">
        <v>1</v>
      </c>
      <c r="R42" s="12" t="s">
        <v>24</v>
      </c>
    </row>
    <row r="43" ht="14.4" spans="1:18">
      <c r="A43" s="11">
        <v>46113</v>
      </c>
      <c r="B43" s="12" t="s">
        <v>75</v>
      </c>
      <c r="C43" s="12" t="s">
        <v>39</v>
      </c>
      <c r="D43" s="12" t="s">
        <v>40</v>
      </c>
      <c r="E43" s="12" t="s">
        <v>37</v>
      </c>
      <c r="F43" s="12" t="s">
        <v>27</v>
      </c>
      <c r="G43" s="12">
        <v>22</v>
      </c>
      <c r="H43" s="12" t="s">
        <v>23</v>
      </c>
      <c r="I43" s="12">
        <v>17</v>
      </c>
      <c r="J43" s="12">
        <v>18</v>
      </c>
      <c r="K43" s="12">
        <v>0</v>
      </c>
      <c r="L43" s="12">
        <v>7</v>
      </c>
      <c r="M43" s="12">
        <v>6.2</v>
      </c>
      <c r="N43" s="12">
        <v>0</v>
      </c>
      <c r="O43" s="13">
        <v>1</v>
      </c>
      <c r="P43" s="13">
        <v>0.972</v>
      </c>
      <c r="Q43" s="13">
        <v>0.989</v>
      </c>
      <c r="R43" s="12" t="s">
        <v>24</v>
      </c>
    </row>
    <row r="44" ht="14.4" spans="1:18">
      <c r="A44" s="11">
        <v>46117</v>
      </c>
      <c r="B44" s="12" t="s">
        <v>75</v>
      </c>
      <c r="C44" s="12" t="s">
        <v>44</v>
      </c>
      <c r="D44" s="12" t="s">
        <v>45</v>
      </c>
      <c r="E44" s="12" t="s">
        <v>43</v>
      </c>
      <c r="F44" s="12" t="s">
        <v>22</v>
      </c>
      <c r="G44" s="12">
        <v>20</v>
      </c>
      <c r="H44" s="12" t="s">
        <v>23</v>
      </c>
      <c r="I44" s="12">
        <v>14</v>
      </c>
      <c r="J44" s="12">
        <v>12</v>
      </c>
      <c r="K44" s="12">
        <v>2</v>
      </c>
      <c r="L44" s="12">
        <v>9</v>
      </c>
      <c r="M44" s="12">
        <v>10.2</v>
      </c>
      <c r="N44" s="12">
        <v>1.2</v>
      </c>
      <c r="O44" s="13">
        <v>0.88</v>
      </c>
      <c r="P44" s="13">
        <v>0.861</v>
      </c>
      <c r="Q44" s="13">
        <v>0.872</v>
      </c>
      <c r="R44" s="12" t="s">
        <v>50</v>
      </c>
    </row>
    <row r="45" ht="14.4" spans="1:18">
      <c r="A45" s="11">
        <v>46119</v>
      </c>
      <c r="B45" s="12" t="s">
        <v>75</v>
      </c>
      <c r="C45" s="12" t="s">
        <v>47</v>
      </c>
      <c r="D45" s="12" t="s">
        <v>48</v>
      </c>
      <c r="E45" s="12" t="s">
        <v>49</v>
      </c>
      <c r="F45" s="12" t="s">
        <v>38</v>
      </c>
      <c r="G45" s="12">
        <v>20</v>
      </c>
      <c r="H45" s="12" t="s">
        <v>23</v>
      </c>
      <c r="I45" s="12">
        <v>15</v>
      </c>
      <c r="J45" s="12">
        <v>16</v>
      </c>
      <c r="K45" s="12">
        <v>0</v>
      </c>
      <c r="L45" s="12">
        <v>9</v>
      </c>
      <c r="M45" s="12">
        <v>9.4</v>
      </c>
      <c r="N45" s="12">
        <v>0.4</v>
      </c>
      <c r="O45" s="13">
        <v>1</v>
      </c>
      <c r="P45" s="13">
        <v>0.896</v>
      </c>
      <c r="Q45" s="13">
        <v>0.958</v>
      </c>
      <c r="R45" s="12" t="s">
        <v>24</v>
      </c>
    </row>
    <row r="46" ht="14.4" spans="1:18">
      <c r="A46" s="11">
        <v>46121</v>
      </c>
      <c r="B46" s="12" t="s">
        <v>75</v>
      </c>
      <c r="C46" s="12" t="s">
        <v>51</v>
      </c>
      <c r="D46" s="12" t="s">
        <v>52</v>
      </c>
      <c r="E46" s="12" t="s">
        <v>49</v>
      </c>
      <c r="F46" s="12" t="s">
        <v>32</v>
      </c>
      <c r="G46" s="12">
        <v>20</v>
      </c>
      <c r="H46" s="12" t="s">
        <v>46</v>
      </c>
      <c r="I46" s="12">
        <v>12</v>
      </c>
      <c r="J46" s="12">
        <v>10</v>
      </c>
      <c r="K46" s="12">
        <v>2</v>
      </c>
      <c r="L46" s="12">
        <v>8</v>
      </c>
      <c r="M46" s="12">
        <v>6.1</v>
      </c>
      <c r="N46" s="12">
        <v>0</v>
      </c>
      <c r="O46" s="13">
        <v>0.894</v>
      </c>
      <c r="P46" s="13">
        <v>0.967</v>
      </c>
      <c r="Q46" s="13">
        <v>0.923</v>
      </c>
      <c r="R46" s="12" t="s">
        <v>24</v>
      </c>
    </row>
    <row r="47" ht="14.4" spans="1:18">
      <c r="A47" s="11">
        <v>46123</v>
      </c>
      <c r="B47" s="12" t="s">
        <v>75</v>
      </c>
      <c r="C47" s="12" t="s">
        <v>72</v>
      </c>
      <c r="D47" s="12" t="s">
        <v>73</v>
      </c>
      <c r="E47" s="12" t="s">
        <v>55</v>
      </c>
      <c r="F47" s="12" t="s">
        <v>27</v>
      </c>
      <c r="G47" s="12">
        <v>21</v>
      </c>
      <c r="H47" s="12" t="s">
        <v>23</v>
      </c>
      <c r="I47" s="12">
        <v>10</v>
      </c>
      <c r="J47" s="12">
        <v>10</v>
      </c>
      <c r="K47" s="12">
        <v>0</v>
      </c>
      <c r="L47" s="12">
        <v>9</v>
      </c>
      <c r="M47" s="12">
        <v>9.4</v>
      </c>
      <c r="N47" s="12">
        <v>0.4</v>
      </c>
      <c r="O47" s="13">
        <v>1</v>
      </c>
      <c r="P47" s="13">
        <v>1</v>
      </c>
      <c r="Q47" s="13">
        <v>1</v>
      </c>
      <c r="R47" s="12" t="s">
        <v>24</v>
      </c>
    </row>
    <row r="48" ht="14.4" spans="1:18">
      <c r="A48" s="11">
        <v>46125</v>
      </c>
      <c r="B48" s="12" t="s">
        <v>75</v>
      </c>
      <c r="C48" s="12" t="s">
        <v>53</v>
      </c>
      <c r="D48" s="12" t="s">
        <v>54</v>
      </c>
      <c r="E48" s="12" t="s">
        <v>55</v>
      </c>
      <c r="F48" s="12" t="s">
        <v>22</v>
      </c>
      <c r="G48" s="12">
        <v>22</v>
      </c>
      <c r="H48" s="12" t="s">
        <v>46</v>
      </c>
      <c r="I48" s="12">
        <v>8</v>
      </c>
      <c r="J48" s="12">
        <v>10</v>
      </c>
      <c r="K48" s="12">
        <v>0</v>
      </c>
      <c r="L48" s="12">
        <v>9</v>
      </c>
      <c r="M48" s="12">
        <v>8.6</v>
      </c>
      <c r="N48" s="12">
        <v>0</v>
      </c>
      <c r="O48" s="13">
        <v>1</v>
      </c>
      <c r="P48" s="13">
        <v>1</v>
      </c>
      <c r="Q48" s="13">
        <v>1</v>
      </c>
      <c r="R48" s="12" t="s">
        <v>24</v>
      </c>
    </row>
    <row r="49" ht="14.4" spans="1:18">
      <c r="A49" s="11">
        <v>46127</v>
      </c>
      <c r="B49" s="12" t="s">
        <v>75</v>
      </c>
      <c r="C49" s="12" t="s">
        <v>56</v>
      </c>
      <c r="D49" s="12" t="s">
        <v>57</v>
      </c>
      <c r="E49" s="12" t="s">
        <v>21</v>
      </c>
      <c r="F49" s="12" t="s">
        <v>38</v>
      </c>
      <c r="G49" s="12">
        <v>20</v>
      </c>
      <c r="H49" s="12" t="s">
        <v>23</v>
      </c>
      <c r="I49" s="12">
        <v>9</v>
      </c>
      <c r="J49" s="12">
        <v>6</v>
      </c>
      <c r="K49" s="12">
        <v>70</v>
      </c>
      <c r="L49" s="12">
        <v>9</v>
      </c>
      <c r="M49" s="12">
        <v>8.3</v>
      </c>
      <c r="N49" s="12">
        <v>0</v>
      </c>
      <c r="O49" s="13">
        <v>0.675</v>
      </c>
      <c r="P49" s="13">
        <v>0.615</v>
      </c>
      <c r="Q49" s="13">
        <v>0.651</v>
      </c>
      <c r="R49" s="12" t="s">
        <v>74</v>
      </c>
    </row>
    <row r="50" ht="14.4" spans="1:18">
      <c r="A50" s="11">
        <v>46131</v>
      </c>
      <c r="B50" s="12" t="s">
        <v>75</v>
      </c>
      <c r="C50" s="12" t="s">
        <v>60</v>
      </c>
      <c r="D50" s="12" t="s">
        <v>61</v>
      </c>
      <c r="E50" s="12" t="s">
        <v>37</v>
      </c>
      <c r="F50" s="12" t="s">
        <v>32</v>
      </c>
      <c r="G50" s="12">
        <v>22</v>
      </c>
      <c r="H50" s="12" t="s">
        <v>23</v>
      </c>
      <c r="I50" s="12">
        <v>12</v>
      </c>
      <c r="J50" s="12">
        <v>15</v>
      </c>
      <c r="K50" s="12">
        <v>0</v>
      </c>
      <c r="L50" s="12">
        <v>7</v>
      </c>
      <c r="M50" s="12">
        <v>8.1</v>
      </c>
      <c r="N50" s="12">
        <v>1.1</v>
      </c>
      <c r="O50" s="13">
        <v>1</v>
      </c>
      <c r="P50" s="13">
        <v>0.973</v>
      </c>
      <c r="Q50" s="13">
        <v>0.989</v>
      </c>
      <c r="R50" s="12" t="s">
        <v>24</v>
      </c>
    </row>
    <row r="51" ht="14.4" spans="1:18">
      <c r="A51" s="11">
        <v>46133</v>
      </c>
      <c r="B51" s="12" t="s">
        <v>75</v>
      </c>
      <c r="C51" s="12" t="s">
        <v>62</v>
      </c>
      <c r="D51" s="12" t="s">
        <v>63</v>
      </c>
      <c r="E51" s="12" t="s">
        <v>43</v>
      </c>
      <c r="F51" s="12" t="s">
        <v>38</v>
      </c>
      <c r="G51" s="12">
        <v>21</v>
      </c>
      <c r="H51" s="12" t="s">
        <v>23</v>
      </c>
      <c r="I51" s="12">
        <v>8</v>
      </c>
      <c r="J51" s="12">
        <v>7</v>
      </c>
      <c r="K51" s="12">
        <v>1</v>
      </c>
      <c r="L51" s="12">
        <v>7</v>
      </c>
      <c r="M51" s="12">
        <v>8</v>
      </c>
      <c r="N51" s="12">
        <v>1</v>
      </c>
      <c r="O51" s="13">
        <v>0.897</v>
      </c>
      <c r="P51" s="13">
        <v>0.835</v>
      </c>
      <c r="Q51" s="13">
        <v>0.872</v>
      </c>
      <c r="R51" s="12" t="s">
        <v>50</v>
      </c>
    </row>
    <row r="52" ht="14.4" spans="1:18">
      <c r="A52" s="11">
        <v>46135</v>
      </c>
      <c r="B52" s="12" t="s">
        <v>75</v>
      </c>
      <c r="C52" s="12" t="s">
        <v>65</v>
      </c>
      <c r="D52" s="12" t="s">
        <v>66</v>
      </c>
      <c r="E52" s="12" t="s">
        <v>49</v>
      </c>
      <c r="F52" s="12" t="s">
        <v>22</v>
      </c>
      <c r="G52" s="12">
        <v>22</v>
      </c>
      <c r="H52" s="12" t="s">
        <v>23</v>
      </c>
      <c r="I52" s="12">
        <v>16</v>
      </c>
      <c r="J52" s="12">
        <v>18</v>
      </c>
      <c r="K52" s="12">
        <v>0</v>
      </c>
      <c r="L52" s="12">
        <v>8</v>
      </c>
      <c r="M52" s="12">
        <v>7.1</v>
      </c>
      <c r="N52" s="12">
        <v>0</v>
      </c>
      <c r="O52" s="13">
        <v>1</v>
      </c>
      <c r="P52" s="13">
        <v>0.905</v>
      </c>
      <c r="Q52" s="13">
        <v>0.962</v>
      </c>
      <c r="R52" s="12" t="s">
        <v>24</v>
      </c>
    </row>
    <row r="53" ht="14.4" spans="1:18">
      <c r="A53" s="11">
        <v>46137</v>
      </c>
      <c r="B53" s="12" t="s">
        <v>75</v>
      </c>
      <c r="C53" s="12" t="s">
        <v>67</v>
      </c>
      <c r="D53" s="12" t="s">
        <v>68</v>
      </c>
      <c r="E53" s="12" t="s">
        <v>55</v>
      </c>
      <c r="F53" s="12" t="s">
        <v>32</v>
      </c>
      <c r="G53" s="12">
        <v>22</v>
      </c>
      <c r="H53" s="12" t="s">
        <v>23</v>
      </c>
      <c r="I53" s="12">
        <v>16</v>
      </c>
      <c r="J53" s="12">
        <v>13</v>
      </c>
      <c r="K53" s="12">
        <v>3</v>
      </c>
      <c r="L53" s="12">
        <v>8</v>
      </c>
      <c r="M53" s="12">
        <v>7.7</v>
      </c>
      <c r="N53" s="12">
        <v>0</v>
      </c>
      <c r="O53" s="13">
        <v>0.826</v>
      </c>
      <c r="P53" s="13">
        <v>0.739</v>
      </c>
      <c r="Q53" s="13">
        <v>0.791</v>
      </c>
      <c r="R53" s="12" t="s">
        <v>50</v>
      </c>
    </row>
    <row r="54" ht="14.4" spans="1:18">
      <c r="A54" s="11">
        <v>46139</v>
      </c>
      <c r="B54" s="12" t="s">
        <v>75</v>
      </c>
      <c r="C54" s="12" t="s">
        <v>76</v>
      </c>
      <c r="D54" s="12" t="s">
        <v>77</v>
      </c>
      <c r="E54" s="12" t="s">
        <v>21</v>
      </c>
      <c r="F54" s="12" t="s">
        <v>27</v>
      </c>
      <c r="G54" s="12">
        <v>20</v>
      </c>
      <c r="H54" s="12" t="s">
        <v>23</v>
      </c>
      <c r="I54" s="12">
        <v>12</v>
      </c>
      <c r="J54" s="12">
        <v>11</v>
      </c>
      <c r="K54" s="12">
        <v>1</v>
      </c>
      <c r="L54" s="12">
        <v>7</v>
      </c>
      <c r="M54" s="12">
        <v>7.4</v>
      </c>
      <c r="N54" s="12">
        <v>0.4</v>
      </c>
      <c r="O54" s="13">
        <v>0.98</v>
      </c>
      <c r="P54" s="13">
        <v>0.906</v>
      </c>
      <c r="Q54" s="13">
        <v>0.95</v>
      </c>
      <c r="R54" s="12" t="s">
        <v>24</v>
      </c>
    </row>
    <row r="55" ht="14.4" spans="1:18">
      <c r="A55" s="11">
        <v>46141</v>
      </c>
      <c r="B55" s="12" t="s">
        <v>75</v>
      </c>
      <c r="C55" s="12" t="s">
        <v>69</v>
      </c>
      <c r="D55" s="12" t="s">
        <v>70</v>
      </c>
      <c r="E55" s="12" t="s">
        <v>31</v>
      </c>
      <c r="F55" s="12" t="s">
        <v>38</v>
      </c>
      <c r="G55" s="12">
        <v>20</v>
      </c>
      <c r="H55" s="12" t="s">
        <v>28</v>
      </c>
      <c r="I55" s="12">
        <v>9</v>
      </c>
      <c r="J55" s="12">
        <v>8</v>
      </c>
      <c r="K55" s="12">
        <v>1</v>
      </c>
      <c r="L55" s="12">
        <v>9</v>
      </c>
      <c r="M55" s="12">
        <v>10.1</v>
      </c>
      <c r="N55" s="12">
        <v>1.1</v>
      </c>
      <c r="O55" s="13">
        <v>0.95</v>
      </c>
      <c r="P55" s="13">
        <v>0.919</v>
      </c>
      <c r="Q55" s="13">
        <v>0.938</v>
      </c>
      <c r="R55" s="12" t="s">
        <v>24</v>
      </c>
    </row>
    <row r="56" ht="14.4" spans="1:18">
      <c r="A56" s="11">
        <v>46143</v>
      </c>
      <c r="B56" s="12" t="s">
        <v>78</v>
      </c>
      <c r="C56" s="12" t="s">
        <v>19</v>
      </c>
      <c r="D56" s="12" t="s">
        <v>20</v>
      </c>
      <c r="E56" s="12" t="s">
        <v>21</v>
      </c>
      <c r="F56" s="12" t="s">
        <v>22</v>
      </c>
      <c r="G56" s="12">
        <v>22</v>
      </c>
      <c r="H56" s="12" t="s">
        <v>28</v>
      </c>
      <c r="I56" s="12">
        <v>10</v>
      </c>
      <c r="J56" s="12">
        <v>8</v>
      </c>
      <c r="K56" s="12">
        <v>2</v>
      </c>
      <c r="L56" s="12">
        <v>7</v>
      </c>
      <c r="M56" s="12">
        <v>6.5</v>
      </c>
      <c r="N56" s="12">
        <v>0</v>
      </c>
      <c r="O56" s="13">
        <v>0.876</v>
      </c>
      <c r="P56" s="13">
        <v>0.934</v>
      </c>
      <c r="Q56" s="13">
        <v>0.899</v>
      </c>
      <c r="R56" s="12" t="s">
        <v>50</v>
      </c>
    </row>
    <row r="57" ht="14.4" spans="1:18">
      <c r="A57" s="11">
        <v>46145</v>
      </c>
      <c r="B57" s="12" t="s">
        <v>78</v>
      </c>
      <c r="C57" s="12" t="s">
        <v>25</v>
      </c>
      <c r="D57" s="12" t="s">
        <v>26</v>
      </c>
      <c r="E57" s="12" t="s">
        <v>21</v>
      </c>
      <c r="F57" s="12" t="s">
        <v>27</v>
      </c>
      <c r="G57" s="12">
        <v>21</v>
      </c>
      <c r="H57" s="12" t="s">
        <v>23</v>
      </c>
      <c r="I57" s="12">
        <v>10</v>
      </c>
      <c r="J57" s="12">
        <v>12</v>
      </c>
      <c r="K57" s="12">
        <v>0</v>
      </c>
      <c r="L57" s="12">
        <v>8</v>
      </c>
      <c r="M57" s="12">
        <v>7.8</v>
      </c>
      <c r="N57" s="12">
        <v>0</v>
      </c>
      <c r="O57" s="13">
        <v>1</v>
      </c>
      <c r="P57" s="13">
        <v>0.971</v>
      </c>
      <c r="Q57" s="13">
        <v>0.988</v>
      </c>
      <c r="R57" s="12" t="s">
        <v>24</v>
      </c>
    </row>
    <row r="58" ht="14.4" spans="1:18">
      <c r="A58" s="11">
        <v>46149</v>
      </c>
      <c r="B58" s="12" t="s">
        <v>78</v>
      </c>
      <c r="C58" s="12" t="s">
        <v>33</v>
      </c>
      <c r="D58" s="12" t="s">
        <v>34</v>
      </c>
      <c r="E58" s="12" t="s">
        <v>31</v>
      </c>
      <c r="F58" s="12" t="s">
        <v>22</v>
      </c>
      <c r="G58" s="12">
        <v>21</v>
      </c>
      <c r="H58" s="12" t="s">
        <v>23</v>
      </c>
      <c r="I58" s="12">
        <v>15</v>
      </c>
      <c r="J58" s="12">
        <v>13</v>
      </c>
      <c r="K58" s="12">
        <v>2</v>
      </c>
      <c r="L58" s="12">
        <v>7</v>
      </c>
      <c r="M58" s="12">
        <v>5.7</v>
      </c>
      <c r="N58" s="12">
        <v>0</v>
      </c>
      <c r="O58" s="13">
        <v>0.917</v>
      </c>
      <c r="P58" s="13">
        <v>0.898</v>
      </c>
      <c r="Q58" s="13">
        <v>0.909</v>
      </c>
      <c r="R58" s="12" t="s">
        <v>24</v>
      </c>
    </row>
    <row r="59" ht="14.4" spans="1:18">
      <c r="A59" s="11">
        <v>46151</v>
      </c>
      <c r="B59" s="12" t="s">
        <v>78</v>
      </c>
      <c r="C59" s="12" t="s">
        <v>35</v>
      </c>
      <c r="D59" s="12" t="s">
        <v>36</v>
      </c>
      <c r="E59" s="12" t="s">
        <v>37</v>
      </c>
      <c r="F59" s="12" t="s">
        <v>38</v>
      </c>
      <c r="G59" s="12">
        <v>21</v>
      </c>
      <c r="H59" s="12" t="s">
        <v>23</v>
      </c>
      <c r="I59" s="12">
        <v>11</v>
      </c>
      <c r="J59" s="12">
        <v>8</v>
      </c>
      <c r="K59" s="12">
        <v>3</v>
      </c>
      <c r="L59" s="12">
        <v>9</v>
      </c>
      <c r="M59" s="12">
        <v>9.9</v>
      </c>
      <c r="N59" s="12">
        <v>0.9</v>
      </c>
      <c r="O59" s="13">
        <v>0.678</v>
      </c>
      <c r="P59" s="13">
        <v>0.63</v>
      </c>
      <c r="Q59" s="13">
        <v>0.659</v>
      </c>
      <c r="R59" s="12" t="s">
        <v>74</v>
      </c>
    </row>
    <row r="60" ht="14.4" spans="1:18">
      <c r="A60" s="11">
        <v>46153</v>
      </c>
      <c r="B60" s="12" t="s">
        <v>78</v>
      </c>
      <c r="C60" s="12" t="s">
        <v>39</v>
      </c>
      <c r="D60" s="12" t="s">
        <v>40</v>
      </c>
      <c r="E60" s="12" t="s">
        <v>37</v>
      </c>
      <c r="F60" s="12" t="s">
        <v>27</v>
      </c>
      <c r="G60" s="12">
        <v>20</v>
      </c>
      <c r="H60" s="12" t="s">
        <v>23</v>
      </c>
      <c r="I60" s="12">
        <v>13</v>
      </c>
      <c r="J60" s="12">
        <v>15</v>
      </c>
      <c r="K60" s="12">
        <v>0</v>
      </c>
      <c r="L60" s="12">
        <v>9</v>
      </c>
      <c r="M60" s="12">
        <v>10.5</v>
      </c>
      <c r="N60" s="12">
        <v>1.5</v>
      </c>
      <c r="O60" s="13">
        <v>1</v>
      </c>
      <c r="P60" s="13">
        <v>1</v>
      </c>
      <c r="Q60" s="13">
        <v>1</v>
      </c>
      <c r="R60" s="12" t="s">
        <v>24</v>
      </c>
    </row>
    <row r="61" ht="14.4" spans="1:18">
      <c r="A61" s="11">
        <v>46155</v>
      </c>
      <c r="B61" s="12" t="s">
        <v>78</v>
      </c>
      <c r="C61" s="12" t="s">
        <v>41</v>
      </c>
      <c r="D61" s="12" t="s">
        <v>42</v>
      </c>
      <c r="E61" s="12" t="s">
        <v>43</v>
      </c>
      <c r="F61" s="12" t="s">
        <v>32</v>
      </c>
      <c r="G61" s="12">
        <v>22</v>
      </c>
      <c r="H61" s="12" t="s">
        <v>23</v>
      </c>
      <c r="I61" s="12">
        <v>8</v>
      </c>
      <c r="J61" s="12">
        <v>5</v>
      </c>
      <c r="K61" s="12">
        <v>50</v>
      </c>
      <c r="L61" s="12">
        <v>8</v>
      </c>
      <c r="M61" s="12">
        <v>7.9</v>
      </c>
      <c r="N61" s="12">
        <v>0</v>
      </c>
      <c r="O61" s="13">
        <v>0.574</v>
      </c>
      <c r="P61" s="13">
        <v>0.666</v>
      </c>
      <c r="Q61" s="13">
        <v>0.611</v>
      </c>
      <c r="R61" s="12" t="s">
        <v>74</v>
      </c>
    </row>
    <row r="62" ht="14.4" spans="1:18">
      <c r="A62" s="11">
        <v>46157</v>
      </c>
      <c r="B62" s="12" t="s">
        <v>78</v>
      </c>
      <c r="C62" s="12" t="s">
        <v>44</v>
      </c>
      <c r="D62" s="12" t="s">
        <v>45</v>
      </c>
      <c r="E62" s="12" t="s">
        <v>43</v>
      </c>
      <c r="F62" s="12" t="s">
        <v>22</v>
      </c>
      <c r="G62" s="12">
        <v>21</v>
      </c>
      <c r="H62" s="12" t="s">
        <v>23</v>
      </c>
      <c r="I62" s="12">
        <v>9</v>
      </c>
      <c r="J62" s="12">
        <v>10</v>
      </c>
      <c r="K62" s="12">
        <v>0</v>
      </c>
      <c r="L62" s="12">
        <v>8</v>
      </c>
      <c r="M62" s="12">
        <v>9.1</v>
      </c>
      <c r="N62" s="12">
        <v>1.1</v>
      </c>
      <c r="O62" s="13">
        <v>1</v>
      </c>
      <c r="P62" s="13">
        <v>1</v>
      </c>
      <c r="Q62" s="13">
        <v>1</v>
      </c>
      <c r="R62" s="12" t="s">
        <v>24</v>
      </c>
    </row>
    <row r="63" ht="14.4" spans="1:18">
      <c r="A63" s="11">
        <v>46159</v>
      </c>
      <c r="B63" s="12" t="s">
        <v>78</v>
      </c>
      <c r="C63" s="12" t="s">
        <v>47</v>
      </c>
      <c r="D63" s="12" t="s">
        <v>48</v>
      </c>
      <c r="E63" s="12" t="s">
        <v>49</v>
      </c>
      <c r="F63" s="12" t="s">
        <v>38</v>
      </c>
      <c r="G63" s="12">
        <v>21</v>
      </c>
      <c r="H63" s="12" t="s">
        <v>46</v>
      </c>
      <c r="I63" s="12">
        <v>16</v>
      </c>
      <c r="J63" s="12">
        <v>13</v>
      </c>
      <c r="K63" s="12">
        <v>3</v>
      </c>
      <c r="L63" s="12">
        <v>8</v>
      </c>
      <c r="M63" s="12">
        <v>8.4</v>
      </c>
      <c r="N63" s="12">
        <v>0.4</v>
      </c>
      <c r="O63" s="13">
        <v>0.876</v>
      </c>
      <c r="P63" s="13">
        <v>0.798</v>
      </c>
      <c r="Q63" s="13">
        <v>0.845</v>
      </c>
      <c r="R63" s="12" t="s">
        <v>50</v>
      </c>
    </row>
    <row r="64" ht="14.4" spans="1:18">
      <c r="A64" s="11">
        <v>46163</v>
      </c>
      <c r="B64" s="12" t="s">
        <v>78</v>
      </c>
      <c r="C64" s="12" t="s">
        <v>72</v>
      </c>
      <c r="D64" s="12" t="s">
        <v>73</v>
      </c>
      <c r="E64" s="12" t="s">
        <v>55</v>
      </c>
      <c r="F64" s="12" t="s">
        <v>27</v>
      </c>
      <c r="G64" s="12">
        <v>22</v>
      </c>
      <c r="H64" s="12" t="s">
        <v>28</v>
      </c>
      <c r="I64" s="12">
        <v>19</v>
      </c>
      <c r="J64" s="12">
        <v>21</v>
      </c>
      <c r="K64" s="12">
        <v>0</v>
      </c>
      <c r="L64" s="12">
        <v>7</v>
      </c>
      <c r="M64" s="12">
        <v>7.4</v>
      </c>
      <c r="N64" s="12">
        <v>0.4</v>
      </c>
      <c r="O64" s="13">
        <v>1</v>
      </c>
      <c r="P64" s="13">
        <v>0.895</v>
      </c>
      <c r="Q64" s="13">
        <v>0.958</v>
      </c>
      <c r="R64" s="12" t="s">
        <v>24</v>
      </c>
    </row>
    <row r="65" ht="14.4" spans="1:18">
      <c r="A65" s="11">
        <v>46165</v>
      </c>
      <c r="B65" s="12" t="s">
        <v>78</v>
      </c>
      <c r="C65" s="12" t="s">
        <v>53</v>
      </c>
      <c r="D65" s="12" t="s">
        <v>54</v>
      </c>
      <c r="E65" s="12" t="s">
        <v>55</v>
      </c>
      <c r="F65" s="12" t="s">
        <v>22</v>
      </c>
      <c r="G65" s="12">
        <v>22</v>
      </c>
      <c r="H65" s="12" t="s">
        <v>23</v>
      </c>
      <c r="I65" s="12">
        <v>17</v>
      </c>
      <c r="J65" s="12">
        <v>16</v>
      </c>
      <c r="K65" s="12">
        <v>1</v>
      </c>
      <c r="L65" s="12">
        <v>9</v>
      </c>
      <c r="M65" s="12">
        <v>10.7</v>
      </c>
      <c r="N65" s="12">
        <v>1.7</v>
      </c>
      <c r="O65" s="13">
        <v>0.997</v>
      </c>
      <c r="P65" s="13">
        <v>1</v>
      </c>
      <c r="Q65" s="13">
        <v>0.998</v>
      </c>
      <c r="R65" s="12" t="s">
        <v>24</v>
      </c>
    </row>
    <row r="66" ht="14.4" spans="1:18">
      <c r="A66" s="11">
        <v>46167</v>
      </c>
      <c r="B66" s="12" t="s">
        <v>78</v>
      </c>
      <c r="C66" s="12" t="s">
        <v>56</v>
      </c>
      <c r="D66" s="12" t="s">
        <v>57</v>
      </c>
      <c r="E66" s="12" t="s">
        <v>21</v>
      </c>
      <c r="F66" s="12" t="s">
        <v>38</v>
      </c>
      <c r="G66" s="12">
        <v>21</v>
      </c>
      <c r="H66" s="12" t="s">
        <v>46</v>
      </c>
      <c r="I66" s="12">
        <v>12</v>
      </c>
      <c r="J66" s="12">
        <v>14</v>
      </c>
      <c r="K66" s="12">
        <v>0</v>
      </c>
      <c r="L66" s="12">
        <v>8</v>
      </c>
      <c r="M66" s="12">
        <v>8</v>
      </c>
      <c r="N66" s="12">
        <v>0</v>
      </c>
      <c r="O66" s="13">
        <v>1</v>
      </c>
      <c r="P66" s="13">
        <v>1</v>
      </c>
      <c r="Q66" s="13">
        <v>1</v>
      </c>
      <c r="R66" s="12" t="s">
        <v>24</v>
      </c>
    </row>
    <row r="67" ht="14.4" spans="1:18">
      <c r="A67" s="11">
        <v>46169</v>
      </c>
      <c r="B67" s="12" t="s">
        <v>78</v>
      </c>
      <c r="C67" s="12" t="s">
        <v>58</v>
      </c>
      <c r="D67" s="12" t="s">
        <v>59</v>
      </c>
      <c r="E67" s="12" t="s">
        <v>31</v>
      </c>
      <c r="F67" s="12" t="s">
        <v>27</v>
      </c>
      <c r="G67" s="12">
        <v>22</v>
      </c>
      <c r="H67" s="12" t="s">
        <v>23</v>
      </c>
      <c r="I67" s="12">
        <v>11</v>
      </c>
      <c r="J67" s="12">
        <v>11</v>
      </c>
      <c r="K67" s="12">
        <v>0</v>
      </c>
      <c r="L67" s="12">
        <v>9</v>
      </c>
      <c r="M67" s="12">
        <v>10.7</v>
      </c>
      <c r="N67" s="12">
        <v>1.7</v>
      </c>
      <c r="O67" s="13">
        <v>1</v>
      </c>
      <c r="P67" s="13">
        <v>1</v>
      </c>
      <c r="Q67" s="13">
        <v>1</v>
      </c>
      <c r="R67" s="12" t="s">
        <v>24</v>
      </c>
    </row>
    <row r="68" ht="14.4" spans="1:18">
      <c r="A68" s="11">
        <v>46171</v>
      </c>
      <c r="B68" s="12" t="s">
        <v>78</v>
      </c>
      <c r="C68" s="12" t="s">
        <v>60</v>
      </c>
      <c r="D68" s="12" t="s">
        <v>61</v>
      </c>
      <c r="E68" s="12" t="s">
        <v>37</v>
      </c>
      <c r="F68" s="12" t="s">
        <v>32</v>
      </c>
      <c r="G68" s="12">
        <v>20</v>
      </c>
      <c r="H68" s="12" t="s">
        <v>46</v>
      </c>
      <c r="I68" s="12">
        <v>17</v>
      </c>
      <c r="J68" s="12">
        <v>16</v>
      </c>
      <c r="K68" s="12">
        <v>1</v>
      </c>
      <c r="L68" s="12">
        <v>8</v>
      </c>
      <c r="M68" s="12">
        <v>5.1</v>
      </c>
      <c r="N68" s="12">
        <v>0</v>
      </c>
      <c r="O68" s="13">
        <v>0.949</v>
      </c>
      <c r="P68" s="13">
        <v>0.829</v>
      </c>
      <c r="Q68" s="13">
        <v>0.901</v>
      </c>
      <c r="R68" s="12" t="s">
        <v>24</v>
      </c>
    </row>
    <row r="69" ht="14.4" spans="1:18">
      <c r="A69" s="11">
        <v>46173</v>
      </c>
      <c r="B69" s="12" t="s">
        <v>78</v>
      </c>
      <c r="C69" s="12" t="s">
        <v>62</v>
      </c>
      <c r="D69" s="12" t="s">
        <v>63</v>
      </c>
      <c r="E69" s="12" t="s">
        <v>43</v>
      </c>
      <c r="F69" s="12" t="s">
        <v>38</v>
      </c>
      <c r="G69" s="12">
        <v>21</v>
      </c>
      <c r="H69" s="12" t="s">
        <v>23</v>
      </c>
      <c r="I69" s="12">
        <v>14</v>
      </c>
      <c r="J69" s="12">
        <v>17</v>
      </c>
      <c r="K69" s="12">
        <v>0</v>
      </c>
      <c r="L69" s="12">
        <v>9</v>
      </c>
      <c r="M69" s="12">
        <v>9.9</v>
      </c>
      <c r="N69" s="12">
        <v>0.9</v>
      </c>
      <c r="O69" s="13">
        <v>1</v>
      </c>
      <c r="P69" s="13">
        <v>0.951</v>
      </c>
      <c r="Q69" s="13">
        <v>0.98</v>
      </c>
      <c r="R69" s="12" t="s">
        <v>24</v>
      </c>
    </row>
    <row r="70" ht="14.4" spans="1:18">
      <c r="A70" s="11">
        <v>46175</v>
      </c>
      <c r="B70" s="12" t="s">
        <v>79</v>
      </c>
      <c r="C70" s="12" t="s">
        <v>65</v>
      </c>
      <c r="D70" s="12" t="s">
        <v>66</v>
      </c>
      <c r="E70" s="12" t="s">
        <v>49</v>
      </c>
      <c r="F70" s="12" t="s">
        <v>22</v>
      </c>
      <c r="G70" s="12">
        <v>21</v>
      </c>
      <c r="H70" s="12" t="s">
        <v>23</v>
      </c>
      <c r="I70" s="12">
        <v>18</v>
      </c>
      <c r="J70" s="12">
        <v>16</v>
      </c>
      <c r="K70" s="12">
        <v>2</v>
      </c>
      <c r="L70" s="12">
        <v>9</v>
      </c>
      <c r="M70" s="12">
        <v>9.1</v>
      </c>
      <c r="N70" s="12">
        <v>0.1</v>
      </c>
      <c r="O70" s="13">
        <v>0.885</v>
      </c>
      <c r="P70" s="13">
        <v>0.963</v>
      </c>
      <c r="Q70" s="13">
        <v>0.916</v>
      </c>
      <c r="R70" s="12" t="s">
        <v>24</v>
      </c>
    </row>
    <row r="71" ht="14.4" spans="1:18">
      <c r="A71" s="11">
        <v>46179</v>
      </c>
      <c r="B71" s="12" t="s">
        <v>79</v>
      </c>
      <c r="C71" s="12" t="s">
        <v>76</v>
      </c>
      <c r="D71" s="12" t="s">
        <v>77</v>
      </c>
      <c r="E71" s="12" t="s">
        <v>21</v>
      </c>
      <c r="F71" s="12" t="s">
        <v>27</v>
      </c>
      <c r="G71" s="12">
        <v>21</v>
      </c>
      <c r="H71" s="12" t="s">
        <v>23</v>
      </c>
      <c r="I71" s="12">
        <v>20</v>
      </c>
      <c r="J71" s="12">
        <v>18</v>
      </c>
      <c r="K71" s="12">
        <v>2</v>
      </c>
      <c r="L71" s="12">
        <v>9</v>
      </c>
      <c r="M71" s="12">
        <v>9.1</v>
      </c>
      <c r="N71" s="12">
        <v>0.1</v>
      </c>
      <c r="O71" s="13">
        <v>0.87</v>
      </c>
      <c r="P71" s="13">
        <v>0.927</v>
      </c>
      <c r="Q71" s="13">
        <v>0.893</v>
      </c>
      <c r="R71" s="12" t="s">
        <v>50</v>
      </c>
    </row>
    <row r="72" ht="14.4" spans="1:18">
      <c r="A72" s="11">
        <v>46181</v>
      </c>
      <c r="B72" s="12" t="s">
        <v>79</v>
      </c>
      <c r="C72" s="12" t="s">
        <v>69</v>
      </c>
      <c r="D72" s="12" t="s">
        <v>70</v>
      </c>
      <c r="E72" s="12" t="s">
        <v>31</v>
      </c>
      <c r="F72" s="12" t="s">
        <v>38</v>
      </c>
      <c r="G72" s="12">
        <v>20</v>
      </c>
      <c r="H72" s="12" t="s">
        <v>23</v>
      </c>
      <c r="I72" s="12">
        <v>8</v>
      </c>
      <c r="J72" s="12">
        <v>6</v>
      </c>
      <c r="K72" s="12">
        <v>2</v>
      </c>
      <c r="L72" s="12">
        <v>8</v>
      </c>
      <c r="M72" s="12">
        <v>5.8</v>
      </c>
      <c r="N72" s="12">
        <v>0</v>
      </c>
      <c r="O72" s="13">
        <v>0.768</v>
      </c>
      <c r="P72" s="13">
        <v>0.817</v>
      </c>
      <c r="Q72" s="13">
        <v>0.788</v>
      </c>
      <c r="R72" s="12" t="s">
        <v>50</v>
      </c>
    </row>
    <row r="73" ht="14.4" spans="1:18">
      <c r="A73" s="11">
        <v>46183</v>
      </c>
      <c r="B73" s="12" t="s">
        <v>79</v>
      </c>
      <c r="C73" s="12" t="s">
        <v>19</v>
      </c>
      <c r="D73" s="12" t="s">
        <v>20</v>
      </c>
      <c r="E73" s="12" t="s">
        <v>21</v>
      </c>
      <c r="F73" s="12" t="s">
        <v>22</v>
      </c>
      <c r="G73" s="12">
        <v>21</v>
      </c>
      <c r="H73" s="12" t="s">
        <v>23</v>
      </c>
      <c r="I73" s="12">
        <v>18</v>
      </c>
      <c r="J73" s="12">
        <v>19</v>
      </c>
      <c r="K73" s="12">
        <v>50</v>
      </c>
      <c r="L73" s="12">
        <v>7</v>
      </c>
      <c r="M73" s="12">
        <v>6.8</v>
      </c>
      <c r="N73" s="12">
        <v>0</v>
      </c>
      <c r="O73" s="13">
        <v>1</v>
      </c>
      <c r="P73" s="13">
        <v>0.964</v>
      </c>
      <c r="Q73" s="13">
        <v>0.986</v>
      </c>
      <c r="R73" s="12" t="s">
        <v>24</v>
      </c>
    </row>
    <row r="74" ht="14.4" spans="1:18">
      <c r="A74" s="11">
        <v>46185</v>
      </c>
      <c r="B74" s="12" t="s">
        <v>79</v>
      </c>
      <c r="C74" s="12" t="s">
        <v>25</v>
      </c>
      <c r="D74" s="12" t="s">
        <v>26</v>
      </c>
      <c r="E74" s="12" t="s">
        <v>21</v>
      </c>
      <c r="F74" s="12" t="s">
        <v>27</v>
      </c>
      <c r="G74" s="12">
        <v>21</v>
      </c>
      <c r="H74" s="12" t="s">
        <v>23</v>
      </c>
      <c r="I74" s="12">
        <v>10</v>
      </c>
      <c r="J74" s="12">
        <v>12</v>
      </c>
      <c r="K74" s="12">
        <v>0</v>
      </c>
      <c r="L74" s="12">
        <v>9</v>
      </c>
      <c r="M74" s="12">
        <v>9.4</v>
      </c>
      <c r="N74" s="12">
        <v>0.4</v>
      </c>
      <c r="O74" s="13">
        <v>1</v>
      </c>
      <c r="P74" s="13">
        <v>1</v>
      </c>
      <c r="Q74" s="13">
        <v>1</v>
      </c>
      <c r="R74" s="12" t="s">
        <v>24</v>
      </c>
    </row>
    <row r="75" ht="14.4" spans="1:18">
      <c r="A75" s="11">
        <v>46187</v>
      </c>
      <c r="B75" s="12" t="s">
        <v>79</v>
      </c>
      <c r="C75" s="12" t="s">
        <v>29</v>
      </c>
      <c r="D75" s="12" t="s">
        <v>30</v>
      </c>
      <c r="E75" s="12" t="s">
        <v>31</v>
      </c>
      <c r="F75" s="12" t="s">
        <v>32</v>
      </c>
      <c r="G75" s="12">
        <v>20</v>
      </c>
      <c r="H75" s="12" t="s">
        <v>23</v>
      </c>
      <c r="I75" s="12">
        <v>11</v>
      </c>
      <c r="J75" s="12">
        <v>9</v>
      </c>
      <c r="K75" s="12">
        <v>2</v>
      </c>
      <c r="L75" s="12">
        <v>9</v>
      </c>
      <c r="M75" s="12">
        <v>10.6</v>
      </c>
      <c r="N75" s="12">
        <v>1.6</v>
      </c>
      <c r="O75" s="13">
        <v>0.821</v>
      </c>
      <c r="P75" s="13">
        <v>0.712</v>
      </c>
      <c r="Q75" s="13">
        <v>0.777</v>
      </c>
      <c r="R75" s="12" t="s">
        <v>50</v>
      </c>
    </row>
    <row r="76" ht="14.4" spans="1:18">
      <c r="A76" s="11">
        <v>46189</v>
      </c>
      <c r="B76" s="12" t="s">
        <v>79</v>
      </c>
      <c r="C76" s="12" t="s">
        <v>33</v>
      </c>
      <c r="D76" s="12" t="s">
        <v>34</v>
      </c>
      <c r="E76" s="12" t="s">
        <v>31</v>
      </c>
      <c r="F76" s="12" t="s">
        <v>22</v>
      </c>
      <c r="G76" s="12">
        <v>20</v>
      </c>
      <c r="H76" s="12" t="s">
        <v>23</v>
      </c>
      <c r="I76" s="12">
        <v>15</v>
      </c>
      <c r="J76" s="12">
        <v>13</v>
      </c>
      <c r="K76" s="12">
        <v>2</v>
      </c>
      <c r="L76" s="12">
        <v>8</v>
      </c>
      <c r="M76" s="12">
        <v>7.4</v>
      </c>
      <c r="N76" s="12">
        <v>0</v>
      </c>
      <c r="O76" s="13">
        <v>0.893</v>
      </c>
      <c r="P76" s="13">
        <v>0.99</v>
      </c>
      <c r="Q76" s="13">
        <v>0.932</v>
      </c>
      <c r="R76" s="12" t="s">
        <v>24</v>
      </c>
    </row>
    <row r="77" ht="14.4" spans="1:18">
      <c r="A77" s="11">
        <v>46193</v>
      </c>
      <c r="B77" s="12" t="s">
        <v>79</v>
      </c>
      <c r="C77" s="12" t="s">
        <v>39</v>
      </c>
      <c r="D77" s="12" t="s">
        <v>40</v>
      </c>
      <c r="E77" s="12" t="s">
        <v>37</v>
      </c>
      <c r="F77" s="12" t="s">
        <v>27</v>
      </c>
      <c r="G77" s="12">
        <v>21</v>
      </c>
      <c r="H77" s="12" t="s">
        <v>46</v>
      </c>
      <c r="I77" s="12">
        <v>15</v>
      </c>
      <c r="J77" s="12">
        <v>13</v>
      </c>
      <c r="K77" s="12">
        <v>2</v>
      </c>
      <c r="L77" s="12">
        <v>9</v>
      </c>
      <c r="M77" s="12">
        <v>8.4</v>
      </c>
      <c r="N77" s="12">
        <v>0</v>
      </c>
      <c r="O77" s="13">
        <v>0.925</v>
      </c>
      <c r="P77" s="13">
        <v>0.904</v>
      </c>
      <c r="Q77" s="13">
        <v>0.917</v>
      </c>
      <c r="R77" s="12" t="s">
        <v>24</v>
      </c>
    </row>
    <row r="78" ht="14.4" spans="1:18">
      <c r="A78" s="11">
        <v>46195</v>
      </c>
      <c r="B78" s="12" t="s">
        <v>79</v>
      </c>
      <c r="C78" s="12" t="s">
        <v>41</v>
      </c>
      <c r="D78" s="12" t="s">
        <v>42</v>
      </c>
      <c r="E78" s="12" t="s">
        <v>43</v>
      </c>
      <c r="F78" s="12" t="s">
        <v>32</v>
      </c>
      <c r="G78" s="12">
        <v>20</v>
      </c>
      <c r="H78" s="12" t="s">
        <v>28</v>
      </c>
      <c r="I78" s="12">
        <v>12</v>
      </c>
      <c r="J78" s="12">
        <v>15</v>
      </c>
      <c r="K78" s="12">
        <v>0</v>
      </c>
      <c r="L78" s="12">
        <v>9</v>
      </c>
      <c r="M78" s="12">
        <v>10</v>
      </c>
      <c r="N78" s="12">
        <v>1</v>
      </c>
      <c r="O78" s="13">
        <v>1</v>
      </c>
      <c r="P78" s="13">
        <v>0.933</v>
      </c>
      <c r="Q78" s="13">
        <v>0.973</v>
      </c>
      <c r="R78" s="12" t="s">
        <v>24</v>
      </c>
    </row>
    <row r="79" ht="14.4" spans="1:18">
      <c r="A79" s="11">
        <v>46197</v>
      </c>
      <c r="B79" s="12" t="s">
        <v>79</v>
      </c>
      <c r="C79" s="12" t="s">
        <v>44</v>
      </c>
      <c r="D79" s="12" t="s">
        <v>45</v>
      </c>
      <c r="E79" s="12" t="s">
        <v>43</v>
      </c>
      <c r="F79" s="12" t="s">
        <v>22</v>
      </c>
      <c r="G79" s="12">
        <v>21</v>
      </c>
      <c r="H79" s="12" t="s">
        <v>23</v>
      </c>
      <c r="I79" s="12">
        <v>19</v>
      </c>
      <c r="J79" s="12">
        <v>18</v>
      </c>
      <c r="K79" s="12">
        <v>1</v>
      </c>
      <c r="L79" s="12">
        <v>7</v>
      </c>
      <c r="M79" s="12">
        <v>7.4</v>
      </c>
      <c r="N79" s="12">
        <v>0.4</v>
      </c>
      <c r="O79" s="13">
        <v>0.911</v>
      </c>
      <c r="P79" s="13">
        <v>0.861</v>
      </c>
      <c r="Q79" s="13">
        <v>0.891</v>
      </c>
      <c r="R79" s="12" t="s">
        <v>50</v>
      </c>
    </row>
    <row r="80" ht="14.4" spans="1:18">
      <c r="A80" s="11">
        <v>46199</v>
      </c>
      <c r="B80" s="12" t="s">
        <v>79</v>
      </c>
      <c r="C80" s="12" t="s">
        <v>47</v>
      </c>
      <c r="D80" s="12" t="s">
        <v>48</v>
      </c>
      <c r="E80" s="12" t="s">
        <v>49</v>
      </c>
      <c r="F80" s="12" t="s">
        <v>38</v>
      </c>
      <c r="G80" s="12">
        <v>22</v>
      </c>
      <c r="H80" s="12" t="s">
        <v>23</v>
      </c>
      <c r="I80" s="12">
        <v>10</v>
      </c>
      <c r="J80" s="12">
        <v>8</v>
      </c>
      <c r="K80" s="12">
        <v>2</v>
      </c>
      <c r="L80" s="12">
        <v>7</v>
      </c>
      <c r="M80" s="12">
        <v>6.4</v>
      </c>
      <c r="N80" s="12">
        <v>0</v>
      </c>
      <c r="O80" s="13">
        <v>0.781</v>
      </c>
      <c r="P80" s="13">
        <v>0.695</v>
      </c>
      <c r="Q80" s="13">
        <v>0.747</v>
      </c>
      <c r="R80" s="12" t="s">
        <v>74</v>
      </c>
    </row>
    <row r="81" ht="14.4" spans="1:18">
      <c r="A81" s="11">
        <v>46201</v>
      </c>
      <c r="B81" s="12" t="s">
        <v>79</v>
      </c>
      <c r="C81" s="12" t="s">
        <v>51</v>
      </c>
      <c r="D81" s="12" t="s">
        <v>52</v>
      </c>
      <c r="E81" s="12" t="s">
        <v>49</v>
      </c>
      <c r="F81" s="12" t="s">
        <v>32</v>
      </c>
      <c r="G81" s="12">
        <v>20</v>
      </c>
      <c r="H81" s="12" t="s">
        <v>23</v>
      </c>
      <c r="I81" s="12">
        <v>14</v>
      </c>
      <c r="J81" s="12">
        <v>14</v>
      </c>
      <c r="K81" s="12">
        <v>0</v>
      </c>
      <c r="L81" s="12">
        <v>8</v>
      </c>
      <c r="M81" s="12">
        <v>8.6</v>
      </c>
      <c r="N81" s="12">
        <v>0.6</v>
      </c>
      <c r="O81" s="13">
        <v>1</v>
      </c>
      <c r="P81" s="13">
        <v>0.971</v>
      </c>
      <c r="Q81" s="13">
        <v>0.988</v>
      </c>
      <c r="R81" s="12" t="s">
        <v>24</v>
      </c>
    </row>
    <row r="82" ht="14.4" spans="1:18">
      <c r="A82" s="11">
        <v>46203</v>
      </c>
      <c r="B82" s="12" t="s">
        <v>79</v>
      </c>
      <c r="C82" s="12" t="s">
        <v>72</v>
      </c>
      <c r="D82" s="12" t="s">
        <v>73</v>
      </c>
      <c r="E82" s="12" t="s">
        <v>55</v>
      </c>
      <c r="F82" s="12" t="s">
        <v>27</v>
      </c>
      <c r="G82" s="12">
        <v>20</v>
      </c>
      <c r="H82" s="12" t="s">
        <v>23</v>
      </c>
      <c r="I82" s="12">
        <v>14</v>
      </c>
      <c r="J82" s="12">
        <v>17</v>
      </c>
      <c r="K82" s="12">
        <v>0</v>
      </c>
      <c r="L82" s="12">
        <v>9</v>
      </c>
      <c r="M82" s="12">
        <v>9.1</v>
      </c>
      <c r="N82" s="12">
        <v>0.1</v>
      </c>
      <c r="O82" s="13">
        <v>1</v>
      </c>
      <c r="P82" s="13">
        <v>0.884</v>
      </c>
      <c r="Q82" s="13">
        <v>0.954</v>
      </c>
      <c r="R82" s="12" t="s">
        <v>24</v>
      </c>
    </row>
    <row r="83" ht="14.4" spans="1:18">
      <c r="A83" s="11">
        <v>46205</v>
      </c>
      <c r="B83" s="12" t="s">
        <v>80</v>
      </c>
      <c r="C83" s="12" t="s">
        <v>53</v>
      </c>
      <c r="D83" s="12" t="s">
        <v>54</v>
      </c>
      <c r="E83" s="12" t="s">
        <v>55</v>
      </c>
      <c r="F83" s="12" t="s">
        <v>22</v>
      </c>
      <c r="G83" s="12">
        <v>22</v>
      </c>
      <c r="H83" s="12" t="s">
        <v>23</v>
      </c>
      <c r="I83" s="12">
        <v>15</v>
      </c>
      <c r="J83" s="12">
        <v>12</v>
      </c>
      <c r="K83" s="12">
        <v>3</v>
      </c>
      <c r="L83" s="12">
        <v>8</v>
      </c>
      <c r="M83" s="12">
        <v>9.1</v>
      </c>
      <c r="N83" s="12">
        <v>1.1</v>
      </c>
      <c r="O83" s="13">
        <v>0.768</v>
      </c>
      <c r="P83" s="13">
        <v>0.734</v>
      </c>
      <c r="Q83" s="13">
        <v>0.754</v>
      </c>
      <c r="R83" s="12" t="s">
        <v>50</v>
      </c>
    </row>
    <row r="84" ht="14.4" spans="1:18">
      <c r="A84" s="11">
        <v>46209</v>
      </c>
      <c r="B84" s="12" t="s">
        <v>80</v>
      </c>
      <c r="C84" s="12" t="s">
        <v>58</v>
      </c>
      <c r="D84" s="12" t="s">
        <v>59</v>
      </c>
      <c r="E84" s="12" t="s">
        <v>31</v>
      </c>
      <c r="F84" s="12" t="s">
        <v>27</v>
      </c>
      <c r="G84" s="12">
        <v>21</v>
      </c>
      <c r="H84" s="12" t="s">
        <v>23</v>
      </c>
      <c r="I84" s="12">
        <v>12</v>
      </c>
      <c r="J84" s="12">
        <v>12</v>
      </c>
      <c r="K84" s="12">
        <v>0</v>
      </c>
      <c r="L84" s="12">
        <v>8</v>
      </c>
      <c r="M84" s="12">
        <v>7.6</v>
      </c>
      <c r="N84" s="12">
        <v>0</v>
      </c>
      <c r="O84" s="13">
        <v>0.925</v>
      </c>
      <c r="P84" s="13">
        <v>0.879</v>
      </c>
      <c r="Q84" s="13">
        <v>0.907</v>
      </c>
      <c r="R84" s="12" t="s">
        <v>24</v>
      </c>
    </row>
    <row r="85" ht="14.4" spans="1:18">
      <c r="A85" s="11">
        <v>46211</v>
      </c>
      <c r="B85" s="12" t="s">
        <v>80</v>
      </c>
      <c r="C85" s="12" t="s">
        <v>60</v>
      </c>
      <c r="D85" s="12" t="s">
        <v>61</v>
      </c>
      <c r="E85" s="12" t="s">
        <v>37</v>
      </c>
      <c r="F85" s="12" t="s">
        <v>32</v>
      </c>
      <c r="G85" s="12">
        <v>22</v>
      </c>
      <c r="H85" s="12" t="s">
        <v>23</v>
      </c>
      <c r="I85" s="12">
        <v>19</v>
      </c>
      <c r="J85" s="12">
        <v>17</v>
      </c>
      <c r="K85" s="12">
        <v>2</v>
      </c>
      <c r="L85" s="12">
        <v>8</v>
      </c>
      <c r="M85" s="12">
        <v>7.6</v>
      </c>
      <c r="N85" s="12">
        <v>0</v>
      </c>
      <c r="O85" s="13">
        <v>0.962</v>
      </c>
      <c r="P85" s="13">
        <v>1</v>
      </c>
      <c r="Q85" s="13">
        <v>0.977</v>
      </c>
      <c r="R85" s="12" t="s">
        <v>24</v>
      </c>
    </row>
    <row r="86" ht="14.4" spans="1:18">
      <c r="A86" s="11">
        <v>46213</v>
      </c>
      <c r="B86" s="12" t="s">
        <v>80</v>
      </c>
      <c r="C86" s="12" t="s">
        <v>62</v>
      </c>
      <c r="D86" s="12" t="s">
        <v>63</v>
      </c>
      <c r="E86" s="12" t="s">
        <v>43</v>
      </c>
      <c r="F86" s="12" t="s">
        <v>38</v>
      </c>
      <c r="G86" s="12">
        <v>22</v>
      </c>
      <c r="H86" s="12" t="s">
        <v>23</v>
      </c>
      <c r="I86" s="12">
        <v>14</v>
      </c>
      <c r="J86" s="12">
        <v>15</v>
      </c>
      <c r="K86" s="12">
        <v>30</v>
      </c>
      <c r="L86" s="12">
        <v>9</v>
      </c>
      <c r="M86" s="12">
        <v>7.4</v>
      </c>
      <c r="N86" s="12">
        <v>0</v>
      </c>
      <c r="O86" s="13">
        <v>1</v>
      </c>
      <c r="P86" s="13">
        <v>0.898</v>
      </c>
      <c r="Q86" s="13">
        <v>0.959</v>
      </c>
      <c r="R86" s="12" t="s">
        <v>24</v>
      </c>
    </row>
    <row r="87" ht="14.4" spans="1:18">
      <c r="A87" s="11">
        <v>46215</v>
      </c>
      <c r="B87" s="12" t="s">
        <v>80</v>
      </c>
      <c r="C87" s="12" t="s">
        <v>65</v>
      </c>
      <c r="D87" s="12" t="s">
        <v>66</v>
      </c>
      <c r="E87" s="12" t="s">
        <v>49</v>
      </c>
      <c r="F87" s="12" t="s">
        <v>22</v>
      </c>
      <c r="G87" s="12">
        <v>21</v>
      </c>
      <c r="H87" s="12" t="s">
        <v>23</v>
      </c>
      <c r="I87" s="12">
        <v>15</v>
      </c>
      <c r="J87" s="12">
        <v>13</v>
      </c>
      <c r="K87" s="12">
        <v>2</v>
      </c>
      <c r="L87" s="12">
        <v>7</v>
      </c>
      <c r="M87" s="12">
        <v>7.3</v>
      </c>
      <c r="N87" s="12">
        <v>0.3</v>
      </c>
      <c r="O87" s="13">
        <v>0.828</v>
      </c>
      <c r="P87" s="13">
        <v>0.78</v>
      </c>
      <c r="Q87" s="13">
        <v>0.809</v>
      </c>
      <c r="R87" s="12" t="s">
        <v>50</v>
      </c>
    </row>
    <row r="88" ht="14.4" spans="1:18">
      <c r="A88" s="11">
        <v>46217</v>
      </c>
      <c r="B88" s="12" t="s">
        <v>80</v>
      </c>
      <c r="C88" s="12" t="s">
        <v>67</v>
      </c>
      <c r="D88" s="12" t="s">
        <v>68</v>
      </c>
      <c r="E88" s="12" t="s">
        <v>55</v>
      </c>
      <c r="F88" s="12" t="s">
        <v>32</v>
      </c>
      <c r="G88" s="12">
        <v>21</v>
      </c>
      <c r="H88" s="12" t="s">
        <v>23</v>
      </c>
      <c r="I88" s="12">
        <v>13</v>
      </c>
      <c r="J88" s="12">
        <v>16</v>
      </c>
      <c r="K88" s="12">
        <v>0</v>
      </c>
      <c r="L88" s="12">
        <v>8</v>
      </c>
      <c r="M88" s="12">
        <v>8.3</v>
      </c>
      <c r="N88" s="12">
        <v>0.3</v>
      </c>
      <c r="O88" s="13">
        <v>1</v>
      </c>
      <c r="P88" s="13">
        <v>1</v>
      </c>
      <c r="Q88" s="13">
        <v>1</v>
      </c>
      <c r="R88" s="12" t="s">
        <v>24</v>
      </c>
    </row>
    <row r="89" ht="14.4" spans="1:18">
      <c r="A89" s="11">
        <v>46219</v>
      </c>
      <c r="B89" s="12" t="s">
        <v>80</v>
      </c>
      <c r="C89" s="12" t="s">
        <v>76</v>
      </c>
      <c r="D89" s="12" t="s">
        <v>77</v>
      </c>
      <c r="E89" s="12" t="s">
        <v>21</v>
      </c>
      <c r="F89" s="12" t="s">
        <v>27</v>
      </c>
      <c r="G89" s="12">
        <v>21</v>
      </c>
      <c r="H89" s="12" t="s">
        <v>23</v>
      </c>
      <c r="I89" s="12">
        <v>9</v>
      </c>
      <c r="J89" s="12">
        <v>9</v>
      </c>
      <c r="K89" s="12">
        <v>0</v>
      </c>
      <c r="L89" s="12">
        <v>7</v>
      </c>
      <c r="M89" s="12">
        <v>7</v>
      </c>
      <c r="N89" s="12">
        <v>0</v>
      </c>
      <c r="O89" s="13">
        <v>1</v>
      </c>
      <c r="P89" s="13">
        <v>0.891</v>
      </c>
      <c r="Q89" s="13">
        <v>0.956</v>
      </c>
      <c r="R89" s="12" t="s">
        <v>24</v>
      </c>
    </row>
    <row r="90" ht="14.4" spans="1:18">
      <c r="A90" s="14">
        <v>46221</v>
      </c>
      <c r="B90" s="15" t="s">
        <v>80</v>
      </c>
      <c r="C90" s="15" t="s">
        <v>69</v>
      </c>
      <c r="D90" s="15" t="s">
        <v>70</v>
      </c>
      <c r="E90" s="15" t="s">
        <v>31</v>
      </c>
      <c r="F90" s="15" t="s">
        <v>38</v>
      </c>
      <c r="G90" s="15">
        <v>21</v>
      </c>
      <c r="H90" s="15" t="s">
        <v>23</v>
      </c>
      <c r="I90" s="15">
        <v>18</v>
      </c>
      <c r="J90" s="15">
        <v>15</v>
      </c>
      <c r="K90" s="15">
        <v>3</v>
      </c>
      <c r="L90" s="15">
        <v>9</v>
      </c>
      <c r="M90" s="15">
        <v>8.7</v>
      </c>
      <c r="N90" s="15">
        <v>0</v>
      </c>
      <c r="O90" s="16">
        <v>0.76</v>
      </c>
      <c r="P90" s="16">
        <v>0.647</v>
      </c>
      <c r="Q90" s="16">
        <v>0.715</v>
      </c>
      <c r="R90" s="15" t="s">
        <v>74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O24"/>
  <sheetViews>
    <sheetView showGridLines="0" topLeftCell="G3" workbookViewId="0">
      <selection activeCell="I14" sqref="I14"/>
    </sheetView>
  </sheetViews>
  <sheetFormatPr defaultColWidth="8.89166666666667" defaultRowHeight="13.8"/>
  <cols>
    <col min="1" max="1" width="23.1083333333333" customWidth="1"/>
    <col min="2" max="2" width="6.66666666666667" customWidth="1"/>
    <col min="3" max="3" width="29.8916666666667"/>
    <col min="4" max="4" width="11.8"/>
    <col min="5" max="5" width="26.1"/>
    <col min="7" max="7" width="14"/>
    <col min="8" max="8" width="26.1"/>
    <col min="9" max="9" width="24.1"/>
    <col min="10" max="10" width="11.8"/>
    <col min="11" max="11" width="20.4"/>
    <col min="12" max="12" width="16.4"/>
    <col min="13" max="13" width="18.7"/>
    <col min="14" max="14" width="21.8"/>
    <col min="15" max="15" width="16.4"/>
  </cols>
  <sheetData>
    <row r="2" spans="1:15">
      <c r="D2" t="s">
        <v>4</v>
      </c>
      <c r="E2" t="s">
        <v>81</v>
      </c>
      <c r="G2" t="s">
        <v>4</v>
      </c>
      <c r="H2" t="s">
        <v>82</v>
      </c>
      <c r="J2" t="s">
        <v>5</v>
      </c>
      <c r="K2" t="s">
        <v>83</v>
      </c>
      <c r="M2" t="s">
        <v>3</v>
      </c>
      <c r="N2" t="s">
        <v>81</v>
      </c>
    </row>
    <row r="3" spans="1:15">
      <c r="A3" s="1" t="s">
        <v>84</v>
      </c>
      <c r="B3" s="1" t="s">
        <v>85</v>
      </c>
      <c r="D3" t="s">
        <v>37</v>
      </c>
      <c r="E3" s="2">
        <v>0.921285714285714</v>
      </c>
      <c r="G3" t="s">
        <v>37</v>
      </c>
      <c r="H3" s="2">
        <v>0.929642857142857</v>
      </c>
      <c r="J3" t="s">
        <v>22</v>
      </c>
      <c r="K3" s="2">
        <v>0.90868</v>
      </c>
      <c r="M3" t="s">
        <v>20</v>
      </c>
      <c r="N3" s="2">
        <v>0.9678</v>
      </c>
    </row>
    <row r="4" spans="1:15">
      <c r="A4" s="1" t="s">
        <v>86</v>
      </c>
      <c r="B4" s="1">
        <f>GETPIVOTDATA("Emp ID",$K$12)</f>
        <v>89</v>
      </c>
      <c r="D4" t="s">
        <v>43</v>
      </c>
      <c r="E4" s="2">
        <v>0.909714285714286</v>
      </c>
      <c r="G4" t="s">
        <v>43</v>
      </c>
      <c r="H4" s="2">
        <v>0.919</v>
      </c>
      <c r="J4" t="s">
        <v>32</v>
      </c>
      <c r="K4" s="2">
        <v>0.899190476190476</v>
      </c>
      <c r="M4" t="s">
        <v>77</v>
      </c>
      <c r="N4" s="2">
        <v>0.933</v>
      </c>
    </row>
    <row r="5" spans="1:15">
      <c r="A5" s="1" t="s">
        <v>87</v>
      </c>
      <c r="B5" s="3">
        <f>GETPIVOTDATA("Productivity %",$G$2)</f>
        <v>0.918584269662921</v>
      </c>
      <c r="D5" t="s">
        <v>55</v>
      </c>
      <c r="E5" s="2">
        <v>0.900692307692308</v>
      </c>
      <c r="G5" t="s">
        <v>55</v>
      </c>
      <c r="H5" s="2">
        <v>0.918230769230769</v>
      </c>
      <c r="J5" t="s">
        <v>38</v>
      </c>
      <c r="K5" s="2">
        <v>0.838909090909091</v>
      </c>
      <c r="M5" t="s">
        <v>40</v>
      </c>
      <c r="N5" s="2">
        <v>0.973</v>
      </c>
    </row>
    <row r="6" spans="1:15">
      <c r="A6" s="1" t="s">
        <v>88</v>
      </c>
      <c r="B6" s="3">
        <f>GETPIVOTDATA("Achievement %",$D$2)</f>
        <v>0.906247191011236</v>
      </c>
      <c r="D6" t="s">
        <v>31</v>
      </c>
      <c r="E6" s="2">
        <v>0.874055555555556</v>
      </c>
      <c r="G6" t="s">
        <v>31</v>
      </c>
      <c r="H6" s="2">
        <v>0.890444444444445</v>
      </c>
      <c r="J6" t="s">
        <v>27</v>
      </c>
      <c r="K6" s="2">
        <v>0.902714285714286</v>
      </c>
      <c r="M6" t="s">
        <v>26</v>
      </c>
      <c r="N6" s="2">
        <v>0.931</v>
      </c>
    </row>
    <row r="7" spans="1:15">
      <c r="A7" s="1" t="s">
        <v>89</v>
      </c>
      <c r="B7" s="1">
        <f>GETPIVOTDATA("Sum of Completed Tasks",$G$12)</f>
        <v>1177</v>
      </c>
      <c r="D7" t="s">
        <v>49</v>
      </c>
      <c r="E7" s="2">
        <v>0.897153846153846</v>
      </c>
      <c r="G7" t="s">
        <v>49</v>
      </c>
      <c r="H7" s="2">
        <v>0.904</v>
      </c>
      <c r="J7" t="s">
        <v>90</v>
      </c>
      <c r="K7" s="2">
        <v>0.887786516853933</v>
      </c>
      <c r="M7" t="s">
        <v>45</v>
      </c>
      <c r="N7" s="2">
        <v>0.9348</v>
      </c>
    </row>
    <row r="8" spans="1:15">
      <c r="A8" s="1" t="s">
        <v>91</v>
      </c>
      <c r="B8" s="3">
        <f>GETPIVOTDATA("Quality Score %",$J$2)</f>
        <v>0.887786516853933</v>
      </c>
      <c r="D8" t="s">
        <v>21</v>
      </c>
      <c r="E8" s="2">
        <v>0.936294117647059</v>
      </c>
      <c r="G8" t="s">
        <v>21</v>
      </c>
      <c r="H8" s="2">
        <v>0.950352941176471</v>
      </c>
      <c r="M8" t="s">
        <v>90</v>
      </c>
      <c r="N8" s="2">
        <v>0.949217391304348</v>
      </c>
    </row>
    <row r="9" spans="1:15">
      <c r="A9" s="4"/>
      <c r="B9" s="4"/>
      <c r="D9" t="s">
        <v>90</v>
      </c>
      <c r="E9" s="2">
        <v>0.906247191011236</v>
      </c>
      <c r="G9" t="s">
        <v>90</v>
      </c>
      <c r="H9" s="2">
        <v>0.918584269662921</v>
      </c>
    </row>
    <row r="12" spans="1:15">
      <c r="D12" t="s">
        <v>1</v>
      </c>
      <c r="E12" t="s">
        <v>82</v>
      </c>
      <c r="G12" s="5" t="s">
        <v>1</v>
      </c>
      <c r="H12" s="5" t="s">
        <v>92</v>
      </c>
      <c r="I12" s="5" t="s">
        <v>93</v>
      </c>
      <c r="K12" t="s">
        <v>7</v>
      </c>
      <c r="L12" t="s">
        <v>94</v>
      </c>
      <c r="N12" t="s">
        <v>17</v>
      </c>
      <c r="O12" t="s">
        <v>94</v>
      </c>
    </row>
    <row r="13" spans="1:15">
      <c r="D13" t="s">
        <v>18</v>
      </c>
      <c r="E13" s="2">
        <v>0.9626</v>
      </c>
      <c r="G13" s="5" t="s">
        <v>18</v>
      </c>
      <c r="H13" s="6">
        <v>209</v>
      </c>
      <c r="I13" s="6">
        <v>133</v>
      </c>
      <c r="K13" t="s">
        <v>28</v>
      </c>
      <c r="L13" s="7">
        <v>8</v>
      </c>
      <c r="N13" t="s">
        <v>24</v>
      </c>
      <c r="O13" s="7">
        <v>58</v>
      </c>
    </row>
    <row r="14" spans="1:15">
      <c r="D14" t="s">
        <v>64</v>
      </c>
      <c r="E14" s="2">
        <v>0.94375</v>
      </c>
      <c r="G14" s="5" t="s">
        <v>64</v>
      </c>
      <c r="H14" s="6">
        <v>173</v>
      </c>
      <c r="I14" s="6">
        <v>79</v>
      </c>
      <c r="K14" t="s">
        <v>23</v>
      </c>
      <c r="L14" s="7">
        <v>67</v>
      </c>
      <c r="N14" t="s">
        <v>74</v>
      </c>
      <c r="O14" s="7">
        <v>11</v>
      </c>
    </row>
    <row r="15" spans="1:15">
      <c r="D15" t="s">
        <v>71</v>
      </c>
      <c r="E15" s="2">
        <v>0.851714285714286</v>
      </c>
      <c r="G15" s="5" t="s">
        <v>71</v>
      </c>
      <c r="H15" s="6">
        <v>175</v>
      </c>
      <c r="I15" s="6">
        <v>69</v>
      </c>
      <c r="K15" t="s">
        <v>46</v>
      </c>
      <c r="L15" s="7">
        <v>14</v>
      </c>
      <c r="N15" t="s">
        <v>50</v>
      </c>
      <c r="O15" s="7">
        <v>20</v>
      </c>
    </row>
    <row r="16" spans="1:15">
      <c r="D16" t="s">
        <v>75</v>
      </c>
      <c r="E16" s="2">
        <v>0.930923076923077</v>
      </c>
      <c r="G16" s="5" t="s">
        <v>75</v>
      </c>
      <c r="H16" s="6">
        <v>154</v>
      </c>
      <c r="I16" s="6">
        <v>80</v>
      </c>
      <c r="K16" t="s">
        <v>90</v>
      </c>
      <c r="L16" s="7">
        <v>89</v>
      </c>
      <c r="N16" t="s">
        <v>90</v>
      </c>
      <c r="O16" s="7">
        <v>89</v>
      </c>
    </row>
    <row r="17" spans="4:12">
      <c r="D17" t="s">
        <v>78</v>
      </c>
      <c r="E17" s="2">
        <v>0.919071428571429</v>
      </c>
      <c r="G17" s="5" t="s">
        <v>78</v>
      </c>
      <c r="H17" s="6">
        <v>179</v>
      </c>
      <c r="I17" s="6">
        <v>62</v>
      </c>
    </row>
    <row r="18" spans="4:12">
      <c r="D18" t="s">
        <v>79</v>
      </c>
      <c r="E18" s="2">
        <v>0.911846153846154</v>
      </c>
      <c r="G18" s="5" t="s">
        <v>79</v>
      </c>
      <c r="H18" s="6">
        <v>178</v>
      </c>
      <c r="I18" s="6">
        <v>65</v>
      </c>
    </row>
    <row r="19" spans="4:12">
      <c r="D19" t="s">
        <v>80</v>
      </c>
      <c r="E19" s="2">
        <v>0.905375</v>
      </c>
      <c r="G19" s="5" t="s">
        <v>80</v>
      </c>
      <c r="H19" s="6">
        <v>109</v>
      </c>
      <c r="I19" s="6">
        <v>40</v>
      </c>
    </row>
    <row r="20" spans="4:12">
      <c r="D20" t="s">
        <v>90</v>
      </c>
      <c r="E20" s="2">
        <v>0.918584269662921</v>
      </c>
      <c r="G20" s="5" t="s">
        <v>90</v>
      </c>
      <c r="H20" s="6">
        <v>1177</v>
      </c>
      <c r="I20" s="6">
        <v>528</v>
      </c>
      <c r="K20" t="s">
        <v>5</v>
      </c>
      <c r="L20" t="s">
        <v>83</v>
      </c>
    </row>
    <row r="21" spans="4:12">
      <c r="K21" t="s">
        <v>22</v>
      </c>
      <c r="L21" s="8">
        <f>GETPIVOTDATA("Quality Score %",$J$2,"Region","California")</f>
        <v>0.90868</v>
      </c>
    </row>
    <row r="22" spans="4:12">
      <c r="K22" t="s">
        <v>32</v>
      </c>
      <c r="L22" s="8">
        <f>GETPIVOTDATA("Quality Score %",$J$2,"Region","Florida")</f>
        <v>0.899190476190476</v>
      </c>
    </row>
    <row r="23" spans="4:12">
      <c r="K23" t="s">
        <v>38</v>
      </c>
      <c r="L23" s="8">
        <f>GETPIVOTDATA("Quality Score %",$J$2,"Region","New York")</f>
        <v>0.838909090909091</v>
      </c>
    </row>
    <row r="24" spans="4:12">
      <c r="K24" s="9" t="s">
        <v>27</v>
      </c>
      <c r="L24" s="8">
        <f>GETPIVOTDATA("Quality Score %",$J$2,"Region","Texas")</f>
        <v>0.902714285714286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Employee performance data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Mohit. p. s.</cp:lastModifiedBy>
  <dcterms:created xsi:type="dcterms:W3CDTF">2026-09-09T09:25:00Z</dcterms:created>
  <dcterms:modified xsi:type="dcterms:W3CDTF">2026-10-27T13:04:20Z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06AAA6C4CA0A487BA273445D6AC953BB_12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